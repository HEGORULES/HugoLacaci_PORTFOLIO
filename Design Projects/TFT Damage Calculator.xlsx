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" sheetId="1" r:id="rId4"/>
    <sheet state="visible" name="BaseItem" sheetId="2" r:id="rId5"/>
    <sheet state="visible" name="Items" sheetId="3" r:id="rId6"/>
    <sheet state="visible" name="Calculator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M2ySu27JpMCdwWAd3UAG3N03+IdW9Yt0EbnXFC0/xjY="/>
    </ext>
  </extLst>
</workbook>
</file>

<file path=xl/sharedStrings.xml><?xml version="1.0" encoding="utf-8"?>
<sst xmlns="http://schemas.openxmlformats.org/spreadsheetml/2006/main" count="240" uniqueCount="103">
  <si>
    <t>STATS</t>
  </si>
  <si>
    <t>Stats</t>
  </si>
  <si>
    <t>EQUIPMENT SELECTOR</t>
  </si>
  <si>
    <t>Champion</t>
  </si>
  <si>
    <t>HP</t>
  </si>
  <si>
    <t>Items</t>
  </si>
  <si>
    <t>Attack Damage (AD)</t>
  </si>
  <si>
    <t>Enemy</t>
  </si>
  <si>
    <t>Ability Power (AP)</t>
  </si>
  <si>
    <t>Armor</t>
  </si>
  <si>
    <t>Magic Resist (MR)</t>
  </si>
  <si>
    <t>Attack Speed (AS)</t>
  </si>
  <si>
    <t>Health</t>
  </si>
  <si>
    <t>Critical Strike Chance</t>
  </si>
  <si>
    <t>Critical Strike Damage</t>
  </si>
  <si>
    <t>Attack Damage</t>
  </si>
  <si>
    <t>Omnivamp</t>
  </si>
  <si>
    <t>Damage Amp.</t>
  </si>
  <si>
    <t>Durability</t>
  </si>
  <si>
    <t>Ability Power</t>
  </si>
  <si>
    <t>AD Scaling</t>
  </si>
  <si>
    <t>Renekton</t>
  </si>
  <si>
    <t>Magic Resist</t>
  </si>
  <si>
    <t>Attack Speed</t>
  </si>
  <si>
    <t>Spear of Shojin</t>
  </si>
  <si>
    <t>AP Scaling</t>
  </si>
  <si>
    <t>Draven</t>
  </si>
  <si>
    <t>Champions</t>
  </si>
  <si>
    <t>Index</t>
  </si>
  <si>
    <t>Titan's Resolve</t>
  </si>
  <si>
    <t>Jayce</t>
  </si>
  <si>
    <t>Edge of Night</t>
  </si>
  <si>
    <t>Dragon's Claw</t>
  </si>
  <si>
    <t>Base Item</t>
  </si>
  <si>
    <t>Bloodthirster</t>
  </si>
  <si>
    <t>Chose a champion and equipt it with 3 items!</t>
  </si>
  <si>
    <t>Instead of a "Rock, Paper, Scissors" elemental system I decided to go for a buff/ debuff approach that affects Physical Damage, Magic Damage or both)</t>
  </si>
  <si>
    <t>you can use the visual guides on the Items and Champions sheets to know which items suit best your champion</t>
  </si>
  <si>
    <t>Janna</t>
  </si>
  <si>
    <t>Dr.Mundo</t>
  </si>
  <si>
    <t>Ally</t>
  </si>
  <si>
    <t>Azir</t>
  </si>
  <si>
    <t>C. Item</t>
  </si>
  <si>
    <t>Enemy Items</t>
  </si>
  <si>
    <t>Final Stats Ally</t>
  </si>
  <si>
    <t>Final Stats Enemy</t>
  </si>
  <si>
    <t>Poppy</t>
  </si>
  <si>
    <t>Kraken's Fury</t>
  </si>
  <si>
    <t>Katarina</t>
  </si>
  <si>
    <t>Kog'Maw</t>
  </si>
  <si>
    <t>Infinity Edge</t>
  </si>
  <si>
    <t>Seraphine</t>
  </si>
  <si>
    <t>Rakan</t>
  </si>
  <si>
    <t>In TFT, the "enemies" are just champions in the enemy team, with other item combinations</t>
  </si>
  <si>
    <t>Giant Slayer</t>
  </si>
  <si>
    <t>This allows the player to know exactly what he is facing and plan ahead. (Perfect Information)</t>
  </si>
  <si>
    <t>Champion Type Leyend</t>
  </si>
  <si>
    <t>Physical Damage (AD)</t>
  </si>
  <si>
    <t>Magic Damage (AP)</t>
  </si>
  <si>
    <t>Tank Item</t>
  </si>
  <si>
    <t>Deathblade</t>
  </si>
  <si>
    <t xml:space="preserve">Type </t>
  </si>
  <si>
    <t>Morellonomicon</t>
  </si>
  <si>
    <t>Void Staff</t>
  </si>
  <si>
    <t>Blue Buff</t>
  </si>
  <si>
    <t>Jewled Gauntlet</t>
  </si>
  <si>
    <t>Rabadon's Deathcap</t>
  </si>
  <si>
    <t>Hand of Justice</t>
  </si>
  <si>
    <t>Arcangel's Staff</t>
  </si>
  <si>
    <t>Crit Factor</t>
  </si>
  <si>
    <t>DAMAGE CALCULATION FORMULA</t>
  </si>
  <si>
    <t xml:space="preserve">=(((AD*AD_Scaling*AS) * IF(RAND()&lt;CriticalStrikeChance, CriticalStrikeDamage, 1))/(1+Armor/100) </t>
  </si>
  <si>
    <t>Hextech Gunblade</t>
  </si>
  <si>
    <t>Final Damage</t>
  </si>
  <si>
    <t>Striker's Flail</t>
  </si>
  <si>
    <t>+ (AP*AP_Scaling)/(1+MR/100)) * (1+DamageAmp) / (1+Durability/100)</t>
  </si>
  <si>
    <t>Final Health</t>
  </si>
  <si>
    <t>Red Buff</t>
  </si>
  <si>
    <t>COMBAT TURN SIMULATION</t>
  </si>
  <si>
    <t>Turn</t>
  </si>
  <si>
    <t>Attacker</t>
  </si>
  <si>
    <t>Damage</t>
  </si>
  <si>
    <t>Ally HP</t>
  </si>
  <si>
    <t>Enemy HP</t>
  </si>
  <si>
    <t>Winner</t>
  </si>
  <si>
    <t>Nashor's Tooth</t>
  </si>
  <si>
    <t>Guinsoo's Rageblade</t>
  </si>
  <si>
    <t>Last Whisper</t>
  </si>
  <si>
    <t>Quicksilver</t>
  </si>
  <si>
    <t>Thief's Gloves</t>
  </si>
  <si>
    <t>Sterak's Gage</t>
  </si>
  <si>
    <t>Protector's Vow</t>
  </si>
  <si>
    <t>Gargoyle Stoneplate</t>
  </si>
  <si>
    <t>Evenshroud</t>
  </si>
  <si>
    <t>Steadfast Heart</t>
  </si>
  <si>
    <t>Sunfire Cape</t>
  </si>
  <si>
    <t>Warmog's Armor</t>
  </si>
  <si>
    <t>Spirit Visage</t>
  </si>
  <si>
    <t>Bramble Vest</t>
  </si>
  <si>
    <t>Adaptive Helm</t>
  </si>
  <si>
    <t>Crownguard</t>
  </si>
  <si>
    <t>Ionic Spark</t>
  </si>
  <si>
    <t>Item Type Leyend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</si>
</sst>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color theme="1"/>
      <name val="Aptos Narrow"/>
      <scheme val="minor"/>
    </font>
    <font>
      <b/>
      <i/>
      <sz val="11.0"/>
      <color theme="1"/>
      <name val="Aptos Narrow"/>
    </font>
  </fonts>
  <fills count="1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rgb="FFAEAEAE"/>
        <bgColor rgb="FFAEAEAE"/>
      </patternFill>
    </fill>
    <fill>
      <patternFill patternType="solid">
        <fgColor rgb="FF156082"/>
        <bgColor rgb="FF156082"/>
      </patternFill>
    </fill>
    <fill>
      <patternFill patternType="solid">
        <fgColor rgb="FFF8882C"/>
        <bgColor rgb="FFF8882C"/>
      </patternFill>
    </fill>
    <fill>
      <patternFill patternType="solid">
        <fgColor rgb="FFF3AB69"/>
        <bgColor rgb="FFF3AB69"/>
      </patternFill>
    </fill>
    <fill>
      <patternFill patternType="solid">
        <fgColor rgb="FF9966FF"/>
        <bgColor rgb="FF9966FF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rgb="FFFFFFCC"/>
      </patternFill>
    </fill>
    <fill>
      <patternFill patternType="solid">
        <fgColor rgb="FFD3AAFC"/>
        <bgColor rgb="FFD3AAFC"/>
      </patternFill>
    </fill>
    <fill>
      <patternFill patternType="solid">
        <fgColor rgb="FFF8ECBA"/>
        <bgColor rgb="FFF8ECBA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56">
    <border/>
    <border>
      <lef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4" fontId="1" numFmtId="0" xfId="0" applyBorder="1" applyFill="1" applyFont="1"/>
    <xf borderId="6" fillId="3" fontId="1" numFmtId="0" xfId="0" applyBorder="1" applyFont="1"/>
    <xf borderId="5" fillId="3" fontId="1" numFmtId="0" xfId="0" applyBorder="1" applyFont="1"/>
    <xf borderId="7" fillId="3" fontId="1" numFmtId="0" xfId="0" applyBorder="1" applyFont="1"/>
    <xf borderId="5" fillId="3" fontId="1" numFmtId="0" xfId="0" applyAlignment="1" applyBorder="1" applyFont="1">
      <alignment horizontal="center"/>
    </xf>
    <xf borderId="8" fillId="3" fontId="1" numFmtId="0" xfId="0" applyBorder="1" applyFont="1"/>
    <xf borderId="9" fillId="0" fontId="2" numFmtId="0" xfId="0" applyBorder="1" applyFont="1"/>
    <xf borderId="6" fillId="5" fontId="1" numFmtId="0" xfId="0" applyBorder="1" applyFill="1" applyFont="1"/>
    <xf borderId="10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1" numFmtId="0" xfId="0" applyBorder="1" applyFont="1"/>
    <xf borderId="6" fillId="4" fontId="1" numFmtId="0" xfId="0" applyBorder="1" applyFont="1"/>
    <xf borderId="13" fillId="3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15" fillId="6" fontId="1" numFmtId="0" xfId="0" applyAlignment="1" applyBorder="1" applyFill="1" applyFont="1">
      <alignment horizontal="center" textRotation="90" vertical="center"/>
    </xf>
    <xf borderId="16" fillId="0" fontId="1" numFmtId="0" xfId="0" applyBorder="1" applyFont="1"/>
    <xf borderId="6" fillId="7" fontId="1" numFmtId="0" xfId="0" applyBorder="1" applyFill="1" applyFont="1"/>
    <xf borderId="17" fillId="0" fontId="2" numFmtId="0" xfId="0" applyBorder="1" applyFont="1"/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 textRotation="90" vertical="center"/>
    </xf>
    <xf borderId="20" fillId="0" fontId="1" numFmtId="0" xfId="0" applyAlignment="1" applyBorder="1" applyFont="1">
      <alignment horizontal="center"/>
    </xf>
    <xf borderId="21" fillId="0" fontId="2" numFmtId="0" xfId="0" applyBorder="1" applyFont="1"/>
    <xf borderId="22" fillId="8" fontId="1" numFmtId="0" xfId="0" applyBorder="1" applyFill="1" applyFont="1"/>
    <xf borderId="0" fillId="0" fontId="1" numFmtId="0" xfId="0" applyAlignment="1" applyFont="1">
      <alignment horizontal="center" vertical="center"/>
    </xf>
    <xf borderId="23" fillId="0" fontId="1" numFmtId="0" xfId="0" applyAlignment="1" applyBorder="1" applyFont="1">
      <alignment horizontal="center"/>
    </xf>
    <xf borderId="24" fillId="0" fontId="2" numFmtId="0" xfId="0" applyBorder="1" applyFont="1"/>
    <xf borderId="6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6" fillId="0" fontId="1" numFmtId="0" xfId="0" applyBorder="1" applyFont="1"/>
    <xf borderId="27" fillId="0" fontId="1" numFmtId="0" xfId="0" applyAlignment="1" applyBorder="1" applyFont="1">
      <alignment horizontal="center"/>
    </xf>
    <xf borderId="28" fillId="0" fontId="2" numFmtId="0" xfId="0" applyBorder="1" applyFont="1"/>
    <xf borderId="20" fillId="0" fontId="1" numFmtId="9" xfId="0" applyAlignment="1" applyBorder="1" applyFont="1" applyNumberFormat="1">
      <alignment horizontal="center"/>
    </xf>
    <xf borderId="29" fillId="0" fontId="1" numFmtId="0" xfId="0" applyBorder="1" applyFont="1"/>
    <xf borderId="25" fillId="0" fontId="1" numFmtId="9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6" fillId="0" fontId="1" numFmtId="9" xfId="0" applyBorder="1" applyFont="1" applyNumberFormat="1"/>
    <xf borderId="2" fillId="3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3" fontId="1" numFmtId="0" xfId="0" applyBorder="1" applyFont="1"/>
    <xf borderId="6" fillId="9" fontId="1" numFmtId="0" xfId="0" applyBorder="1" applyFill="1" applyFont="1"/>
    <xf borderId="2" fillId="3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/>
    </xf>
    <xf borderId="0" fillId="0" fontId="4" numFmtId="0" xfId="0" applyFont="1"/>
    <xf borderId="27" fillId="0" fontId="1" numFmtId="9" xfId="0" applyAlignment="1" applyBorder="1" applyFont="1" applyNumberFormat="1">
      <alignment horizontal="center"/>
    </xf>
    <xf borderId="6" fillId="10" fontId="1" numFmtId="0" xfId="0" applyBorder="1" applyFill="1" applyFont="1"/>
    <xf borderId="0" fillId="0" fontId="1" numFmtId="0" xfId="0" applyAlignment="1" applyFont="1">
      <alignment horizontal="center"/>
    </xf>
    <xf borderId="6" fillId="0" fontId="1" numFmtId="9" xfId="0" applyAlignment="1" applyBorder="1" applyFont="1" applyNumberFormat="1">
      <alignment horizontal="center"/>
    </xf>
    <xf borderId="0" fillId="0" fontId="1" numFmtId="0" xfId="0" applyAlignment="1" applyFont="1">
      <alignment textRotation="90" vertical="center"/>
    </xf>
    <xf borderId="2" fillId="4" fontId="1" numFmtId="0" xfId="0" applyAlignment="1" applyBorder="1" applyFont="1">
      <alignment horizontal="center"/>
    </xf>
    <xf borderId="6" fillId="11" fontId="1" numFmtId="0" xfId="0" applyBorder="1" applyFill="1" applyFont="1"/>
    <xf borderId="6" fillId="0" fontId="1" numFmtId="0" xfId="0" applyBorder="1" applyFont="1"/>
    <xf borderId="32" fillId="0" fontId="2" numFmtId="0" xfId="0" applyBorder="1" applyFont="1"/>
    <xf borderId="19" fillId="2" fontId="1" numFmtId="0" xfId="0" applyAlignment="1" applyBorder="1" applyFont="1">
      <alignment horizontal="center" textRotation="90" vertical="center"/>
    </xf>
    <xf borderId="22" fillId="3" fontId="1" numFmtId="0" xfId="0" applyBorder="1" applyFont="1"/>
    <xf borderId="33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3" fillId="0" fontId="1" numFmtId="9" xfId="0" applyAlignment="1" applyBorder="1" applyFont="1" applyNumberForma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2" numFmtId="0" xfId="0" applyBorder="1" applyFont="1"/>
    <xf borderId="2" fillId="3" fontId="1" numFmtId="0" xfId="0" applyAlignment="1" applyBorder="1" applyFont="1">
      <alignment horizontal="left" shrinkToFit="0" wrapText="1"/>
    </xf>
    <xf borderId="1" fillId="6" fontId="1" numFmtId="0" xfId="0" applyAlignment="1" applyBorder="1" applyFont="1">
      <alignment horizontal="center"/>
    </xf>
    <xf borderId="2" fillId="0" fontId="1" numFmtId="0" xfId="0" applyBorder="1" applyFont="1"/>
    <xf borderId="19" fillId="0" fontId="1" numFmtId="0" xfId="0" applyBorder="1" applyFont="1"/>
    <xf borderId="39" fillId="0" fontId="1" numFmtId="0" xfId="0" applyBorder="1" applyFont="1"/>
    <xf borderId="40" fillId="8" fontId="1" numFmtId="0" xfId="0" applyBorder="1" applyFont="1"/>
    <xf borderId="32" fillId="0" fontId="1" numFmtId="0" xfId="0" applyBorder="1" applyFont="1"/>
    <xf borderId="41" fillId="0" fontId="1" numFmtId="0" xfId="0" applyBorder="1" applyFont="1"/>
    <xf borderId="33" fillId="8" fontId="1" numFmtId="0" xfId="0" applyBorder="1" applyFont="1"/>
    <xf borderId="19" fillId="0" fontId="1" numFmtId="0" xfId="0" applyAlignment="1" applyBorder="1" applyFont="1">
      <alignment horizontal="center"/>
    </xf>
    <xf borderId="42" fillId="8" fontId="1" numFmtId="0" xfId="0" applyBorder="1" applyFont="1"/>
    <xf borderId="22" fillId="12" fontId="1" numFmtId="0" xfId="0" applyBorder="1" applyFill="1" applyFont="1"/>
    <xf borderId="42" fillId="12" fontId="1" numFmtId="0" xfId="0" applyBorder="1" applyFont="1"/>
    <xf borderId="43" fillId="0" fontId="1" numFmtId="0" xfId="0" applyBorder="1" applyFont="1"/>
    <xf borderId="42" fillId="13" fontId="1" numFmtId="0" xfId="0" applyBorder="1" applyFill="1" applyFont="1"/>
    <xf borderId="35" fillId="0" fontId="1" numFmtId="9" xfId="0" applyAlignment="1" applyBorder="1" applyFont="1" applyNumberFormat="1">
      <alignment horizontal="center"/>
    </xf>
    <xf borderId="42" fillId="10" fontId="1" numFmtId="0" xfId="0" applyBorder="1" applyFont="1"/>
    <xf borderId="37" fillId="0" fontId="1" numFmtId="9" xfId="0" applyAlignment="1" applyBorder="1" applyFont="1" applyNumberFormat="1">
      <alignment horizontal="center"/>
    </xf>
    <xf borderId="43" fillId="0" fontId="2" numFmtId="0" xfId="0" applyBorder="1" applyFont="1"/>
    <xf borderId="44" fillId="10" fontId="1" numFmtId="0" xfId="0" applyBorder="1" applyFont="1"/>
    <xf borderId="0" fillId="0" fontId="1" numFmtId="0" xfId="0" applyAlignment="1" applyFont="1">
      <alignment horizontal="center" textRotation="90" vertical="center"/>
    </xf>
    <xf borderId="6" fillId="14" fontId="1" numFmtId="0" xfId="0" applyBorder="1" applyFill="1" applyFont="1"/>
    <xf borderId="6" fillId="15" fontId="1" numFmtId="0" xfId="0" applyBorder="1" applyFill="1" applyFont="1"/>
    <xf borderId="0" fillId="0" fontId="1" numFmtId="0" xfId="0" applyAlignment="1" applyFont="1">
      <alignment horizontal="left"/>
    </xf>
    <xf borderId="2" fillId="6" fontId="1" numFmtId="0" xfId="0" applyAlignment="1" applyBorder="1" applyFont="1">
      <alignment horizontal="center"/>
    </xf>
    <xf borderId="45" fillId="0" fontId="1" numFmtId="0" xfId="0" applyBorder="1" applyFont="1"/>
    <xf borderId="46" fillId="0" fontId="1" numFmtId="0" xfId="0" applyBorder="1" applyFont="1"/>
    <xf borderId="47" fillId="0" fontId="1" numFmtId="0" xfId="0" applyBorder="1" applyFont="1"/>
    <xf borderId="6" fillId="4" fontId="1" numFmtId="0" xfId="0" applyAlignment="1" applyBorder="1" applyFont="1">
      <alignment horizontal="left"/>
    </xf>
    <xf borderId="22" fillId="13" fontId="1" numFmtId="0" xfId="0" applyBorder="1" applyFont="1"/>
    <xf borderId="48" fillId="0" fontId="1" numFmtId="0" xfId="0" applyBorder="1" applyFont="1"/>
    <xf borderId="48" fillId="0" fontId="1" numFmtId="0" xfId="0" applyAlignment="1" applyBorder="1" applyFont="1">
      <alignment shrinkToFit="0" wrapText="1"/>
    </xf>
    <xf borderId="49" fillId="0" fontId="1" numFmtId="0" xfId="0" applyBorder="1" applyFont="1"/>
    <xf borderId="6" fillId="0" fontId="1" numFmtId="0" xfId="0" applyAlignment="1" applyBorder="1" applyFont="1">
      <alignment shrinkToFit="0" wrapText="1"/>
    </xf>
    <xf borderId="0" fillId="0" fontId="5" numFmtId="0" xfId="0" applyAlignment="1" applyFont="1">
      <alignment horizontal="center"/>
    </xf>
    <xf borderId="50" fillId="2" fontId="1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48" fillId="0" fontId="2" numFmtId="0" xfId="0" applyBorder="1" applyFont="1"/>
    <xf borderId="54" fillId="0" fontId="2" numFmtId="0" xfId="0" applyBorder="1" applyFont="1"/>
    <xf borderId="6" fillId="2" fontId="1" numFmtId="0" xfId="0" applyBorder="1" applyFont="1"/>
    <xf borderId="6" fillId="16" fontId="1" numFmtId="0" xfId="0" applyBorder="1" applyFill="1" applyFont="1"/>
    <xf borderId="25" fillId="15" fontId="1" numFmtId="0" xfId="0" applyAlignment="1" applyBorder="1" applyFont="1">
      <alignment horizontal="center"/>
    </xf>
    <xf borderId="33" fillId="14" fontId="1" numFmtId="0" xfId="0" applyAlignment="1" applyBorder="1" applyFont="1">
      <alignment horizontal="center"/>
    </xf>
    <xf borderId="22" fillId="10" fontId="1" numFmtId="0" xfId="0" applyBorder="1" applyFont="1"/>
    <xf borderId="55" fillId="0" fontId="1" numFmtId="0" xfId="0" applyAlignment="1" applyBorder="1" applyFont="1">
      <alignment horizontal="center"/>
    </xf>
    <xf borderId="55" fillId="0" fontId="1" numFmtId="9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75"/>
    <col customWidth="1" min="3" max="3" width="18.88"/>
    <col customWidth="1" min="4" max="4" width="18.0"/>
    <col customWidth="1" min="5" max="5" width="15.75"/>
    <col customWidth="1" min="6" max="6" width="8.63"/>
    <col customWidth="1" min="7" max="7" width="15.38"/>
    <col customWidth="1" min="8" max="8" width="16.38"/>
    <col customWidth="1" min="9" max="9" width="19.75"/>
    <col customWidth="1" min="10" max="10" width="19.38"/>
    <col customWidth="1" min="11" max="11" width="10.13"/>
    <col customWidth="1" min="12" max="12" width="12.63"/>
    <col customWidth="1" min="13" max="13" width="8.63"/>
    <col customWidth="1" min="14" max="14" width="12.25"/>
    <col customWidth="1" min="15" max="15" width="11.0"/>
    <col customWidth="1" min="16" max="26" width="8.63"/>
  </cols>
  <sheetData>
    <row r="1">
      <c r="C1" s="2" t="s">
        <v>1</v>
      </c>
      <c r="D1" s="4"/>
      <c r="E1" s="4"/>
      <c r="F1" s="4"/>
      <c r="G1" s="4"/>
      <c r="H1" s="4"/>
      <c r="I1" s="4"/>
      <c r="J1" s="4"/>
      <c r="K1" s="4"/>
      <c r="L1" s="4"/>
      <c r="M1" s="5"/>
    </row>
    <row r="2">
      <c r="C2" s="7" t="s">
        <v>4</v>
      </c>
      <c r="D2" s="9" t="s">
        <v>6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13</v>
      </c>
      <c r="J2" s="9" t="s">
        <v>14</v>
      </c>
      <c r="K2" s="7" t="s">
        <v>16</v>
      </c>
      <c r="L2" s="7" t="s">
        <v>17</v>
      </c>
      <c r="M2" s="11" t="s">
        <v>18</v>
      </c>
      <c r="O2" s="13" t="s">
        <v>20</v>
      </c>
      <c r="P2" s="13" t="s">
        <v>25</v>
      </c>
    </row>
    <row r="3" ht="15.75" customHeight="1">
      <c r="A3" s="22" t="s">
        <v>27</v>
      </c>
      <c r="B3" s="24" t="s">
        <v>30</v>
      </c>
      <c r="C3" s="26">
        <v>450.0</v>
      </c>
      <c r="D3" s="28">
        <v>65.0</v>
      </c>
      <c r="E3" s="32">
        <v>0.0</v>
      </c>
      <c r="F3" s="34">
        <v>20.0</v>
      </c>
      <c r="G3" s="37">
        <v>20.0</v>
      </c>
      <c r="H3" s="28">
        <v>0.75</v>
      </c>
      <c r="I3" s="39">
        <v>0.25</v>
      </c>
      <c r="J3" s="28">
        <v>0.0</v>
      </c>
      <c r="K3" s="28">
        <v>0.0</v>
      </c>
      <c r="L3" s="28">
        <v>0.0</v>
      </c>
      <c r="M3" s="42">
        <v>0.0</v>
      </c>
      <c r="O3" s="43">
        <v>0.6</v>
      </c>
      <c r="P3" s="43">
        <v>0.05</v>
      </c>
    </row>
    <row r="4">
      <c r="A4" s="45"/>
      <c r="B4" s="47" t="s">
        <v>38</v>
      </c>
      <c r="C4" s="26">
        <v>300.0</v>
      </c>
      <c r="D4" s="37">
        <v>40.0</v>
      </c>
      <c r="E4" s="49">
        <v>50.0</v>
      </c>
      <c r="F4" s="34">
        <v>10.0</v>
      </c>
      <c r="G4" s="37">
        <v>10.0</v>
      </c>
      <c r="H4" s="37">
        <v>0.75</v>
      </c>
      <c r="I4" s="51">
        <v>0.25</v>
      </c>
      <c r="J4" s="37">
        <v>0.0</v>
      </c>
      <c r="K4" s="49">
        <v>0.0</v>
      </c>
      <c r="L4" s="37">
        <v>0.0</v>
      </c>
      <c r="M4" s="42">
        <v>0.0</v>
      </c>
      <c r="O4" s="43">
        <v>0.15</v>
      </c>
      <c r="P4" s="43">
        <v>0.5</v>
      </c>
    </row>
    <row r="5">
      <c r="A5" s="45"/>
      <c r="B5" s="52" t="s">
        <v>39</v>
      </c>
      <c r="C5" s="34">
        <v>550.0</v>
      </c>
      <c r="D5" s="34">
        <v>45.0</v>
      </c>
      <c r="E5" s="34">
        <v>0.0</v>
      </c>
      <c r="F5" s="34">
        <v>30.0</v>
      </c>
      <c r="G5" s="34">
        <v>25.0</v>
      </c>
      <c r="H5" s="34">
        <v>0.65</v>
      </c>
      <c r="I5" s="54">
        <v>0.25</v>
      </c>
      <c r="J5" s="34">
        <v>0.0</v>
      </c>
      <c r="K5" s="34">
        <v>0.0</v>
      </c>
      <c r="L5" s="34">
        <v>0.02</v>
      </c>
      <c r="M5" s="34">
        <v>0.04</v>
      </c>
      <c r="O5" s="43">
        <v>0.4</v>
      </c>
      <c r="P5" s="43">
        <v>0.15</v>
      </c>
    </row>
    <row r="6">
      <c r="A6" s="45"/>
      <c r="B6" s="57" t="s">
        <v>41</v>
      </c>
      <c r="C6" s="34">
        <v>300.0</v>
      </c>
      <c r="D6" s="34">
        <v>40.0</v>
      </c>
      <c r="E6" s="34">
        <v>45.0</v>
      </c>
      <c r="F6" s="34">
        <v>15.0</v>
      </c>
      <c r="G6" s="34">
        <v>15.0</v>
      </c>
      <c r="H6" s="34">
        <v>0.85</v>
      </c>
      <c r="I6" s="54">
        <v>0.25</v>
      </c>
      <c r="J6" s="34">
        <v>0.0</v>
      </c>
      <c r="K6" s="34">
        <v>0.0</v>
      </c>
      <c r="L6" s="34">
        <v>0.0</v>
      </c>
      <c r="M6" s="34">
        <v>0.0</v>
      </c>
      <c r="O6" s="43">
        <v>0.4</v>
      </c>
      <c r="P6" s="43">
        <v>0.45</v>
      </c>
    </row>
    <row r="7">
      <c r="A7" s="45"/>
      <c r="B7" s="52" t="s">
        <v>46</v>
      </c>
      <c r="C7" s="34">
        <v>450.0</v>
      </c>
      <c r="D7" s="34">
        <v>50.0</v>
      </c>
      <c r="E7" s="34">
        <v>0.0</v>
      </c>
      <c r="F7" s="34">
        <v>35.0</v>
      </c>
      <c r="G7" s="34">
        <v>35.0</v>
      </c>
      <c r="H7" s="34">
        <v>0.65</v>
      </c>
      <c r="I7" s="54">
        <v>0.25</v>
      </c>
      <c r="J7" s="34">
        <v>0.0</v>
      </c>
      <c r="K7" s="34">
        <v>0.0</v>
      </c>
      <c r="L7" s="34">
        <v>0.0</v>
      </c>
      <c r="M7" s="34">
        <v>0.05</v>
      </c>
      <c r="O7" s="43">
        <v>0.5</v>
      </c>
      <c r="P7" s="43">
        <v>0.1</v>
      </c>
    </row>
    <row r="8">
      <c r="A8" s="45"/>
      <c r="B8" s="24" t="s">
        <v>26</v>
      </c>
      <c r="C8" s="34">
        <v>350.0</v>
      </c>
      <c r="D8" s="34">
        <v>70.0</v>
      </c>
      <c r="E8" s="34">
        <v>0.0</v>
      </c>
      <c r="F8" s="34">
        <v>10.0</v>
      </c>
      <c r="G8" s="34">
        <v>10.0</v>
      </c>
      <c r="H8" s="34">
        <v>0.75</v>
      </c>
      <c r="I8" s="54">
        <v>0.25</v>
      </c>
      <c r="J8" s="34">
        <v>0.0</v>
      </c>
      <c r="K8" s="34">
        <v>0.0</v>
      </c>
      <c r="L8" s="34">
        <v>0.0</v>
      </c>
      <c r="M8" s="34">
        <v>0.0</v>
      </c>
      <c r="O8" s="43">
        <v>0.6</v>
      </c>
      <c r="P8" s="43">
        <v>0.05</v>
      </c>
    </row>
    <row r="9">
      <c r="A9" s="45"/>
      <c r="B9" s="47" t="s">
        <v>48</v>
      </c>
      <c r="C9" s="34">
        <v>350.0</v>
      </c>
      <c r="D9" s="34">
        <v>40.0</v>
      </c>
      <c r="E9" s="34">
        <v>55.0</v>
      </c>
      <c r="F9" s="34">
        <v>10.0</v>
      </c>
      <c r="G9" s="34">
        <v>10.0</v>
      </c>
      <c r="H9" s="53">
        <v>0.65</v>
      </c>
      <c r="I9" s="54">
        <v>0.5</v>
      </c>
      <c r="J9" s="34">
        <v>0.0</v>
      </c>
      <c r="K9" s="34">
        <v>0.0</v>
      </c>
      <c r="L9" s="34">
        <v>0.0</v>
      </c>
      <c r="M9" s="34">
        <v>0.0</v>
      </c>
      <c r="O9" s="43">
        <v>0.35</v>
      </c>
      <c r="P9" s="43">
        <v>0.55</v>
      </c>
    </row>
    <row r="10">
      <c r="A10" s="45"/>
      <c r="B10" s="57" t="s">
        <v>49</v>
      </c>
      <c r="C10" s="34">
        <v>350.0</v>
      </c>
      <c r="D10" s="53">
        <v>40.0</v>
      </c>
      <c r="E10" s="34">
        <v>40.0</v>
      </c>
      <c r="F10" s="34">
        <v>15.0</v>
      </c>
      <c r="G10" s="34">
        <v>15.0</v>
      </c>
      <c r="H10" s="34">
        <v>0.85</v>
      </c>
      <c r="I10" s="54">
        <v>0.25</v>
      </c>
      <c r="J10" s="34">
        <v>0.0</v>
      </c>
      <c r="K10" s="34">
        <v>0.0</v>
      </c>
      <c r="L10" s="34">
        <v>0.05</v>
      </c>
      <c r="M10" s="34">
        <v>0.0</v>
      </c>
      <c r="O10" s="43">
        <v>0.45</v>
      </c>
      <c r="P10" s="43">
        <v>0.45</v>
      </c>
    </row>
    <row r="11">
      <c r="A11" s="45"/>
      <c r="B11" s="47" t="s">
        <v>51</v>
      </c>
      <c r="C11" s="34">
        <v>450.0</v>
      </c>
      <c r="D11" s="34">
        <v>25.0</v>
      </c>
      <c r="E11" s="34">
        <v>65.0</v>
      </c>
      <c r="F11" s="34">
        <v>10.0</v>
      </c>
      <c r="G11" s="34">
        <v>10.0</v>
      </c>
      <c r="H11" s="34">
        <v>0.55</v>
      </c>
      <c r="I11" s="54">
        <v>0.25</v>
      </c>
      <c r="J11" s="34">
        <v>0.0</v>
      </c>
      <c r="K11" s="34">
        <v>0.0</v>
      </c>
      <c r="L11" s="34">
        <v>0.06</v>
      </c>
      <c r="M11" s="34">
        <v>0.0</v>
      </c>
      <c r="O11" s="43">
        <v>0.05</v>
      </c>
      <c r="P11" s="43">
        <v>0.65</v>
      </c>
    </row>
    <row r="12">
      <c r="A12" s="45"/>
      <c r="B12" s="52" t="s">
        <v>21</v>
      </c>
      <c r="C12" s="34">
        <v>450.0</v>
      </c>
      <c r="D12" s="34">
        <v>45.0</v>
      </c>
      <c r="E12" s="34">
        <v>0.0</v>
      </c>
      <c r="F12" s="34">
        <v>20.0</v>
      </c>
      <c r="G12" s="34">
        <v>20.0</v>
      </c>
      <c r="H12" s="34">
        <v>0.65</v>
      </c>
      <c r="I12" s="54">
        <v>0.25</v>
      </c>
      <c r="J12" s="34">
        <v>0.0</v>
      </c>
      <c r="K12" s="34">
        <v>0.0</v>
      </c>
      <c r="L12" s="34">
        <v>0.0</v>
      </c>
      <c r="M12" s="34">
        <v>0.0</v>
      </c>
      <c r="O12" s="43">
        <v>0.35</v>
      </c>
      <c r="P12" s="43">
        <v>0.2</v>
      </c>
    </row>
    <row r="13">
      <c r="A13" s="68"/>
      <c r="B13" s="52" t="s">
        <v>52</v>
      </c>
      <c r="C13" s="34">
        <v>500.0</v>
      </c>
      <c r="D13" s="34">
        <v>25.0</v>
      </c>
      <c r="E13" s="34">
        <v>35.0</v>
      </c>
      <c r="F13" s="34">
        <v>30.0</v>
      </c>
      <c r="G13" s="34">
        <v>25.0</v>
      </c>
      <c r="H13" s="34">
        <v>0.75</v>
      </c>
      <c r="I13" s="54">
        <v>0.25</v>
      </c>
      <c r="J13" s="34">
        <v>0.0</v>
      </c>
      <c r="K13" s="34">
        <v>0.0</v>
      </c>
      <c r="L13" s="34">
        <v>0.0</v>
      </c>
      <c r="M13" s="34">
        <v>0.02</v>
      </c>
      <c r="O13" s="43">
        <v>0.3</v>
      </c>
      <c r="P13" s="43">
        <v>0.5</v>
      </c>
    </row>
    <row r="15" ht="72.0" customHeight="1">
      <c r="O15" s="69" t="s">
        <v>53</v>
      </c>
      <c r="P15" s="5"/>
      <c r="Q15" s="48" t="s">
        <v>55</v>
      </c>
      <c r="R15" s="5"/>
    </row>
    <row r="16" ht="15.75" customHeight="1">
      <c r="B16" s="70" t="s">
        <v>56</v>
      </c>
      <c r="C16" s="15"/>
    </row>
    <row r="17" ht="15.75" customHeight="1">
      <c r="B17" s="24"/>
      <c r="C17" s="58" t="s">
        <v>57</v>
      </c>
    </row>
    <row r="18" ht="15.75" customHeight="1">
      <c r="B18" s="47"/>
      <c r="C18" s="58" t="s">
        <v>58</v>
      </c>
    </row>
    <row r="19" ht="15.75" customHeight="1">
      <c r="B19" s="57"/>
      <c r="C19" s="58" t="s">
        <v>11</v>
      </c>
    </row>
    <row r="20">
      <c r="B20" s="52"/>
      <c r="C20" s="58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M1"/>
    <mergeCell ref="A3:A13"/>
    <mergeCell ref="O15:P15"/>
    <mergeCell ref="Q15:R15"/>
    <mergeCell ref="B16:C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13" width="22.63"/>
    <col customWidth="1" min="14" max="26" width="8.63"/>
  </cols>
  <sheetData>
    <row r="1">
      <c r="C1" s="1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5"/>
    </row>
    <row r="2">
      <c r="C2" s="17" t="s">
        <v>12</v>
      </c>
      <c r="D2" s="20" t="s">
        <v>15</v>
      </c>
      <c r="E2" s="20" t="s">
        <v>19</v>
      </c>
      <c r="F2" s="20" t="s">
        <v>9</v>
      </c>
      <c r="G2" s="20" t="s">
        <v>22</v>
      </c>
      <c r="H2" s="20" t="s">
        <v>23</v>
      </c>
      <c r="I2" s="20" t="s">
        <v>13</v>
      </c>
      <c r="J2" s="20" t="s">
        <v>14</v>
      </c>
      <c r="K2" s="20" t="s">
        <v>16</v>
      </c>
      <c r="L2" s="20" t="s">
        <v>17</v>
      </c>
      <c r="M2" s="20" t="s">
        <v>18</v>
      </c>
    </row>
    <row r="3">
      <c r="A3" s="31"/>
      <c r="B3" s="17" t="s">
        <v>33</v>
      </c>
      <c r="C3" s="35">
        <v>0.0</v>
      </c>
      <c r="D3" s="35">
        <v>0.0</v>
      </c>
      <c r="E3" s="35">
        <v>0.0</v>
      </c>
      <c r="F3" s="35">
        <v>0.0</v>
      </c>
      <c r="G3" s="35">
        <v>0.0</v>
      </c>
      <c r="H3" s="35">
        <v>0.0</v>
      </c>
      <c r="I3" s="41">
        <v>0.0</v>
      </c>
      <c r="J3" s="41">
        <v>1.0</v>
      </c>
      <c r="K3" s="41">
        <v>0.0</v>
      </c>
      <c r="L3" s="35">
        <v>0.0</v>
      </c>
      <c r="M3" s="35">
        <v>0.0</v>
      </c>
    </row>
    <row r="6">
      <c r="C6" s="46" t="s">
        <v>36</v>
      </c>
      <c r="D6" s="46"/>
      <c r="E6" s="46"/>
      <c r="F6" s="46"/>
      <c r="G6" s="46"/>
      <c r="H6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M1"/>
    <mergeCell ref="A3:A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38"/>
    <col customWidth="1" min="3" max="3" width="19.38"/>
    <col customWidth="1" min="4" max="13" width="19.13"/>
    <col customWidth="1" min="14" max="26" width="8.63"/>
  </cols>
  <sheetData>
    <row r="1">
      <c r="D1" s="2" t="s">
        <v>1</v>
      </c>
      <c r="E1" s="4"/>
      <c r="F1" s="4"/>
      <c r="G1" s="4"/>
      <c r="H1" s="4"/>
      <c r="I1" s="4"/>
      <c r="J1" s="4"/>
      <c r="K1" s="4"/>
      <c r="L1" s="4"/>
      <c r="M1" s="5"/>
    </row>
    <row r="2">
      <c r="C2" s="8" t="s">
        <v>12</v>
      </c>
      <c r="D2" s="10" t="s">
        <v>15</v>
      </c>
      <c r="E2" s="10" t="s">
        <v>19</v>
      </c>
      <c r="F2" s="10" t="s">
        <v>9</v>
      </c>
      <c r="G2" s="10" t="s">
        <v>22</v>
      </c>
      <c r="H2" s="10" t="s">
        <v>23</v>
      </c>
      <c r="I2" s="10" t="s">
        <v>13</v>
      </c>
      <c r="J2" s="10" t="s">
        <v>14</v>
      </c>
      <c r="K2" s="10" t="s">
        <v>16</v>
      </c>
      <c r="L2" s="10" t="s">
        <v>17</v>
      </c>
      <c r="M2" s="18" t="s">
        <v>18</v>
      </c>
      <c r="N2" s="21" t="s">
        <v>28</v>
      </c>
    </row>
    <row r="3">
      <c r="A3" s="27" t="s">
        <v>5</v>
      </c>
      <c r="B3" s="30" t="s">
        <v>24</v>
      </c>
      <c r="C3" s="35">
        <f>BaseItem!$C$3</f>
        <v>0</v>
      </c>
      <c r="D3" s="35">
        <f>BaseItem!$D$3+15</f>
        <v>15</v>
      </c>
      <c r="E3" s="35">
        <f>BaseItem!$E$3+10</f>
        <v>10</v>
      </c>
      <c r="F3" s="35">
        <f>BaseItem!$F$3</f>
        <v>0</v>
      </c>
      <c r="G3" s="35">
        <f>BaseItem!$G$3</f>
        <v>0</v>
      </c>
      <c r="H3" s="35">
        <f>BaseItem!$H$3</f>
        <v>0</v>
      </c>
      <c r="I3" s="41">
        <f>BaseItem!$I$3</f>
        <v>0</v>
      </c>
      <c r="J3" s="41">
        <f>BaseItem!$J$3</f>
        <v>1</v>
      </c>
      <c r="K3" s="41">
        <f>BaseItem!$K$3</f>
        <v>0</v>
      </c>
      <c r="L3" s="35">
        <f>BaseItem!$L$3+10%</f>
        <v>0.1</v>
      </c>
      <c r="M3" s="35">
        <f>BaseItem!$M$3</f>
        <v>0</v>
      </c>
      <c r="N3" s="58">
        <v>1.0</v>
      </c>
    </row>
    <row r="4">
      <c r="A4" s="59"/>
      <c r="B4" s="30" t="s">
        <v>47</v>
      </c>
      <c r="C4" s="62">
        <f>BaseItem!$C$3</f>
        <v>0</v>
      </c>
      <c r="D4" s="63">
        <f>BaseItem!$D$3+10</f>
        <v>10</v>
      </c>
      <c r="E4" s="62">
        <f>BaseItem!$E$3</f>
        <v>0</v>
      </c>
      <c r="F4" s="62">
        <f>BaseItem!$F$3</f>
        <v>0</v>
      </c>
      <c r="G4" s="62">
        <f>BaseItem!$G$3+20</f>
        <v>20</v>
      </c>
      <c r="H4" s="62">
        <f>BaseItem!$H$3+10%</f>
        <v>0.1</v>
      </c>
      <c r="I4" s="65">
        <f>BaseItem!$I$3</f>
        <v>0</v>
      </c>
      <c r="J4" s="65">
        <f>BaseItem!$J$3</f>
        <v>1</v>
      </c>
      <c r="K4" s="65">
        <f>BaseItem!$K$3</f>
        <v>0</v>
      </c>
      <c r="L4" s="62">
        <f>BaseItem!$L$3</f>
        <v>0</v>
      </c>
      <c r="M4" s="62">
        <f>BaseItem!$M$3</f>
        <v>0</v>
      </c>
      <c r="N4" s="58">
        <v>1.0</v>
      </c>
    </row>
    <row r="5">
      <c r="A5" s="59"/>
      <c r="B5" s="30" t="s">
        <v>50</v>
      </c>
      <c r="C5" s="66">
        <f>BaseItem!$C$3</f>
        <v>0</v>
      </c>
      <c r="D5" s="63">
        <f>BaseItem!$D$3+35</f>
        <v>35</v>
      </c>
      <c r="E5" s="62">
        <f>BaseItem!$E$3</f>
        <v>0</v>
      </c>
      <c r="F5" s="62">
        <f>BaseItem!$F$3</f>
        <v>0</v>
      </c>
      <c r="G5" s="62">
        <f>BaseItem!$G$3</f>
        <v>0</v>
      </c>
      <c r="H5" s="62">
        <f>BaseItem!$H$3</f>
        <v>0</v>
      </c>
      <c r="I5" s="65">
        <f>BaseItem!$I$3+35%</f>
        <v>0.35</v>
      </c>
      <c r="J5" s="65">
        <f>BaseItem!$J$3+30%</f>
        <v>1.3</v>
      </c>
      <c r="K5" s="65">
        <f>BaseItem!$K$3</f>
        <v>0</v>
      </c>
      <c r="L5" s="62">
        <f>BaseItem!$L$3</f>
        <v>0</v>
      </c>
      <c r="M5" s="62">
        <f>BaseItem!$M$3</f>
        <v>0</v>
      </c>
      <c r="N5" s="58">
        <v>1.0</v>
      </c>
    </row>
    <row r="6">
      <c r="A6" s="59"/>
      <c r="B6" s="30" t="s">
        <v>54</v>
      </c>
      <c r="C6" s="62">
        <f>BaseItem!$C$3</f>
        <v>0</v>
      </c>
      <c r="D6" s="63">
        <v>20.0</v>
      </c>
      <c r="E6" s="62">
        <f>BaseItem!$E$3+20</f>
        <v>20</v>
      </c>
      <c r="F6" s="62">
        <f>BaseItem!$F$3</f>
        <v>0</v>
      </c>
      <c r="G6" s="62">
        <f>BaseItem!$G$3</f>
        <v>0</v>
      </c>
      <c r="H6" s="62">
        <f>BaseItem!$H$3+15%</f>
        <v>0.15</v>
      </c>
      <c r="I6" s="65">
        <f>BaseItem!$I$3</f>
        <v>0</v>
      </c>
      <c r="J6" s="65">
        <f>BaseItem!$J$3</f>
        <v>1</v>
      </c>
      <c r="K6" s="65">
        <f>BaseItem!$K$3</f>
        <v>0</v>
      </c>
      <c r="L6" s="62">
        <f>BaseItem!$L$3</f>
        <v>0</v>
      </c>
      <c r="M6" s="62">
        <f>BaseItem!$M$3</f>
        <v>0</v>
      </c>
      <c r="N6" s="58">
        <v>1.0</v>
      </c>
    </row>
    <row r="7">
      <c r="A7" s="59"/>
      <c r="B7" s="30" t="s">
        <v>31</v>
      </c>
      <c r="C7" s="62">
        <f>BaseItem!$C$3</f>
        <v>0</v>
      </c>
      <c r="D7" s="63">
        <f>BaseItem!$D$3+10</f>
        <v>10</v>
      </c>
      <c r="E7" s="62">
        <f>BaseItem!$E$3+10</f>
        <v>10</v>
      </c>
      <c r="F7" s="62">
        <f>BaseItem!$F$3+20</f>
        <v>20</v>
      </c>
      <c r="G7" s="62">
        <f>BaseItem!$G$3</f>
        <v>0</v>
      </c>
      <c r="H7" s="62">
        <f>BaseItem!$H$3+15%</f>
        <v>0.15</v>
      </c>
      <c r="I7" s="65">
        <f>BaseItem!$I$3</f>
        <v>0</v>
      </c>
      <c r="J7" s="65">
        <f>BaseItem!$J$3</f>
        <v>1</v>
      </c>
      <c r="K7" s="65">
        <f>BaseItem!$K$3</f>
        <v>0</v>
      </c>
      <c r="L7" s="62">
        <f>BaseItem!$L$3</f>
        <v>0</v>
      </c>
      <c r="M7" s="62">
        <f>BaseItem!$M$3</f>
        <v>0</v>
      </c>
      <c r="N7" s="58">
        <v>1.0</v>
      </c>
    </row>
    <row r="8">
      <c r="A8" s="59"/>
      <c r="B8" s="30" t="s">
        <v>60</v>
      </c>
      <c r="C8" s="62">
        <f>BaseItem!$C$3</f>
        <v>0</v>
      </c>
      <c r="D8" s="63">
        <f>BaseItem!$D$3+55</f>
        <v>55</v>
      </c>
      <c r="E8" s="62">
        <f>BaseItem!$E$3</f>
        <v>0</v>
      </c>
      <c r="F8" s="62">
        <f>BaseItem!$F$3</f>
        <v>0</v>
      </c>
      <c r="G8" s="62">
        <f>BaseItem!$G$3</f>
        <v>0</v>
      </c>
      <c r="H8" s="62">
        <f>BaseItem!$H$3</f>
        <v>0</v>
      </c>
      <c r="I8" s="65">
        <f>BaseItem!$I$3</f>
        <v>0</v>
      </c>
      <c r="J8" s="65">
        <f>BaseItem!$J$3</f>
        <v>1</v>
      </c>
      <c r="K8" s="65">
        <f>BaseItem!$K$3</f>
        <v>0</v>
      </c>
      <c r="L8" s="62">
        <f>BaseItem!$L$3+10%</f>
        <v>0.1</v>
      </c>
      <c r="M8" s="62">
        <f>BaseItem!$M$3</f>
        <v>0</v>
      </c>
      <c r="N8" s="58">
        <v>1.0</v>
      </c>
    </row>
    <row r="9">
      <c r="A9" s="59"/>
      <c r="B9" s="30" t="s">
        <v>34</v>
      </c>
      <c r="C9" s="62">
        <f>BaseItem!$C$3</f>
        <v>0</v>
      </c>
      <c r="D9" s="62">
        <f>BaseItem!$D$3+20</f>
        <v>20</v>
      </c>
      <c r="E9" s="62">
        <f>BaseItem!$E$3+20</f>
        <v>20</v>
      </c>
      <c r="F9" s="62">
        <f>BaseItem!$F$3</f>
        <v>0</v>
      </c>
      <c r="G9" s="62">
        <f>BaseItem!$G$3+20</f>
        <v>20</v>
      </c>
      <c r="H9" s="62">
        <f>BaseItem!$H$3</f>
        <v>0</v>
      </c>
      <c r="I9" s="65">
        <f>BaseItem!$I$3</f>
        <v>0</v>
      </c>
      <c r="J9" s="65">
        <f>BaseItem!$J$3</f>
        <v>1</v>
      </c>
      <c r="K9" s="65">
        <f>BaseItem!$K$3+20%</f>
        <v>0.2</v>
      </c>
      <c r="L9" s="62">
        <f>BaseItem!$L$3</f>
        <v>0</v>
      </c>
      <c r="M9" s="62">
        <f>BaseItem!$M$3</f>
        <v>0</v>
      </c>
      <c r="N9" s="58">
        <v>1.0</v>
      </c>
    </row>
    <row r="10">
      <c r="A10" s="59"/>
      <c r="B10" s="80" t="s">
        <v>62</v>
      </c>
      <c r="C10" s="62">
        <f>BaseItem!$C$3+150</f>
        <v>150</v>
      </c>
      <c r="D10" s="62">
        <f>BaseItem!$D$3</f>
        <v>0</v>
      </c>
      <c r="E10" s="62">
        <f>BaseItem!$E$3+25</f>
        <v>25</v>
      </c>
      <c r="F10" s="62">
        <f>BaseItem!$F$3</f>
        <v>0</v>
      </c>
      <c r="G10" s="62">
        <f>BaseItem!$G$3</f>
        <v>0</v>
      </c>
      <c r="H10" s="62">
        <f>BaseItem!$H$3</f>
        <v>0</v>
      </c>
      <c r="I10" s="65">
        <f>BaseItem!$I$3</f>
        <v>0</v>
      </c>
      <c r="J10" s="65">
        <f>BaseItem!$J$3</f>
        <v>1</v>
      </c>
      <c r="K10" s="65">
        <f>BaseItem!$K$3</f>
        <v>0</v>
      </c>
      <c r="L10" s="62">
        <f>BaseItem!$L$3</f>
        <v>0</v>
      </c>
      <c r="M10" s="62">
        <f>BaseItem!$M$3</f>
        <v>0</v>
      </c>
      <c r="N10" s="58">
        <v>2.0</v>
      </c>
    </row>
    <row r="11">
      <c r="A11" s="59"/>
      <c r="B11" s="80" t="s">
        <v>63</v>
      </c>
      <c r="C11" s="62">
        <f>BaseItem!$C$3</f>
        <v>0</v>
      </c>
      <c r="D11" s="62">
        <f>BaseItem!$D$3</f>
        <v>0</v>
      </c>
      <c r="E11" s="62">
        <f>BaseItem!$E$3+35</f>
        <v>35</v>
      </c>
      <c r="F11" s="62">
        <f>BaseItem!$F$3</f>
        <v>0</v>
      </c>
      <c r="G11" s="62">
        <f>BaseItem!$G$3</f>
        <v>0</v>
      </c>
      <c r="H11" s="62">
        <f>BaseItem!$H$3+15%</f>
        <v>0.15</v>
      </c>
      <c r="I11" s="65">
        <f>BaseItem!$I$3</f>
        <v>0</v>
      </c>
      <c r="J11" s="65">
        <f>BaseItem!$J$3</f>
        <v>1</v>
      </c>
      <c r="K11" s="65">
        <f>BaseItem!$K$3</f>
        <v>0</v>
      </c>
      <c r="L11" s="62">
        <f>BaseItem!$L$3</f>
        <v>0</v>
      </c>
      <c r="M11" s="62">
        <f>BaseItem!$M$3</f>
        <v>0</v>
      </c>
      <c r="N11" s="58">
        <v>2.0</v>
      </c>
    </row>
    <row r="12">
      <c r="A12" s="59"/>
      <c r="B12" s="80" t="s">
        <v>64</v>
      </c>
      <c r="C12" s="62">
        <f>BaseItem!$C$3</f>
        <v>0</v>
      </c>
      <c r="D12" s="62">
        <f>BaseItem!$D$3+15</f>
        <v>15</v>
      </c>
      <c r="E12" s="62">
        <f>BaseItem!$E$3+15</f>
        <v>15</v>
      </c>
      <c r="F12" s="62">
        <f>BaseItem!$F$3</f>
        <v>0</v>
      </c>
      <c r="G12" s="62">
        <f>BaseItem!$G$3</f>
        <v>0</v>
      </c>
      <c r="H12" s="62">
        <f>BaseItem!$H$3</f>
        <v>0</v>
      </c>
      <c r="I12" s="65">
        <f>BaseItem!$I$3</f>
        <v>0</v>
      </c>
      <c r="J12" s="65">
        <f>BaseItem!$J$3</f>
        <v>1</v>
      </c>
      <c r="K12" s="65">
        <f>BaseItem!$K$3</f>
        <v>0</v>
      </c>
      <c r="L12" s="62">
        <f>BaseItem!$L$3</f>
        <v>0</v>
      </c>
      <c r="M12" s="62">
        <f>BaseItem!$M$3</f>
        <v>0</v>
      </c>
      <c r="N12" s="58">
        <v>2.0</v>
      </c>
    </row>
    <row r="13">
      <c r="A13" s="59"/>
      <c r="B13" s="80" t="s">
        <v>65</v>
      </c>
      <c r="C13" s="62">
        <f>BaseItem!$C$3</f>
        <v>0</v>
      </c>
      <c r="D13" s="62">
        <f>BaseItem!$D$3</f>
        <v>0</v>
      </c>
      <c r="E13" s="62">
        <f>BaseItem!$E$3+35</f>
        <v>35</v>
      </c>
      <c r="F13" s="62">
        <f>BaseItem!$F$3</f>
        <v>0</v>
      </c>
      <c r="G13" s="62">
        <f>BaseItem!$G$3</f>
        <v>0</v>
      </c>
      <c r="H13" s="62">
        <f>BaseItem!$H$3</f>
        <v>0</v>
      </c>
      <c r="I13" s="65">
        <f>BaseItem!$I$3+35%</f>
        <v>0.35</v>
      </c>
      <c r="J13" s="65">
        <f>BaseItem!$J$3+30%</f>
        <v>1.3</v>
      </c>
      <c r="K13" s="65">
        <f>BaseItem!$K$3</f>
        <v>0</v>
      </c>
      <c r="L13" s="62">
        <f>BaseItem!$L$3</f>
        <v>0</v>
      </c>
      <c r="M13" s="62">
        <f>BaseItem!$M$3</f>
        <v>0</v>
      </c>
      <c r="N13" s="58">
        <v>2.0</v>
      </c>
    </row>
    <row r="14">
      <c r="A14" s="59"/>
      <c r="B14" s="80" t="s">
        <v>66</v>
      </c>
      <c r="C14" s="62">
        <f>BaseItem!$C$3</f>
        <v>0</v>
      </c>
      <c r="D14" s="62">
        <f>BaseItem!$D$3</f>
        <v>0</v>
      </c>
      <c r="E14" s="62">
        <v>50.0</v>
      </c>
      <c r="F14" s="62">
        <f>BaseItem!$F$3</f>
        <v>0</v>
      </c>
      <c r="G14" s="62">
        <f>BaseItem!$G$3</f>
        <v>0</v>
      </c>
      <c r="H14" s="62">
        <f>BaseItem!$H$3</f>
        <v>0</v>
      </c>
      <c r="I14" s="65">
        <f>BaseItem!$I$3</f>
        <v>0</v>
      </c>
      <c r="J14" s="65">
        <f>BaseItem!$J$3</f>
        <v>1</v>
      </c>
      <c r="K14" s="65">
        <f>BaseItem!$K$3</f>
        <v>0</v>
      </c>
      <c r="L14" s="62">
        <f>BaseItem!$L$3+15%</f>
        <v>0.15</v>
      </c>
      <c r="M14" s="62">
        <f>BaseItem!$M$3</f>
        <v>0</v>
      </c>
      <c r="N14" s="58">
        <v>2.0</v>
      </c>
    </row>
    <row r="15">
      <c r="A15" s="59"/>
      <c r="B15" s="80" t="s">
        <v>67</v>
      </c>
      <c r="C15" s="62">
        <f>BaseItem!$C$3</f>
        <v>0</v>
      </c>
      <c r="D15" s="62">
        <f>BaseItem!$D$3+15</f>
        <v>15</v>
      </c>
      <c r="E15" s="62">
        <f>BaseItem!$E$3+15</f>
        <v>15</v>
      </c>
      <c r="F15" s="62">
        <f>BaseItem!$F$3</f>
        <v>0</v>
      </c>
      <c r="G15" s="62">
        <f>BaseItem!$G$3</f>
        <v>0</v>
      </c>
      <c r="H15" s="62">
        <f>BaseItem!$H$3</f>
        <v>0</v>
      </c>
      <c r="I15" s="65">
        <f>BaseItem!$I$3+20%</f>
        <v>0.2</v>
      </c>
      <c r="J15" s="65">
        <f>BaseItem!$J$3</f>
        <v>1</v>
      </c>
      <c r="K15" s="65">
        <f>BaseItem!$K$3+12%</f>
        <v>0.12</v>
      </c>
      <c r="L15" s="62">
        <f>BaseItem!$L$3</f>
        <v>0</v>
      </c>
      <c r="M15" s="62">
        <f>BaseItem!$M$3</f>
        <v>0</v>
      </c>
      <c r="N15" s="58">
        <v>2.0</v>
      </c>
    </row>
    <row r="16">
      <c r="A16" s="59"/>
      <c r="B16" s="80" t="s">
        <v>68</v>
      </c>
      <c r="C16" s="62">
        <f>BaseItem!$C$3</f>
        <v>0</v>
      </c>
      <c r="D16" s="62">
        <f>BaseItem!$D$3</f>
        <v>0</v>
      </c>
      <c r="E16" s="62">
        <v>40.0</v>
      </c>
      <c r="F16" s="62">
        <f>BaseItem!$F$3</f>
        <v>0</v>
      </c>
      <c r="G16" s="62">
        <f>BaseItem!$G$3</f>
        <v>0</v>
      </c>
      <c r="H16" s="62">
        <f>BaseItem!$H$3</f>
        <v>0</v>
      </c>
      <c r="I16" s="65">
        <f>BaseItem!$I$3</f>
        <v>0</v>
      </c>
      <c r="J16" s="65">
        <f>BaseItem!$J$3</f>
        <v>1</v>
      </c>
      <c r="K16" s="65">
        <f>BaseItem!$K$3+5%</f>
        <v>0.05</v>
      </c>
      <c r="L16" s="62">
        <f>BaseItem!$L$3+8%</f>
        <v>0.08</v>
      </c>
      <c r="M16" s="62">
        <f>BaseItem!$M$3</f>
        <v>0</v>
      </c>
      <c r="N16" s="58">
        <v>2.0</v>
      </c>
    </row>
    <row r="17">
      <c r="A17" s="59"/>
      <c r="B17" s="80" t="s">
        <v>72</v>
      </c>
      <c r="C17" s="62">
        <f>BaseItem!$C$3</f>
        <v>0</v>
      </c>
      <c r="D17" s="62">
        <f>BaseItem!$D$3+20</f>
        <v>20</v>
      </c>
      <c r="E17" s="62">
        <f>BaseItem!$E$3+20</f>
        <v>20</v>
      </c>
      <c r="F17" s="62">
        <f>BaseItem!$F$3</f>
        <v>0</v>
      </c>
      <c r="G17" s="62">
        <f>BaseItem!$G$3</f>
        <v>0</v>
      </c>
      <c r="H17" s="62">
        <f>BaseItem!$H$3</f>
        <v>0</v>
      </c>
      <c r="I17" s="65">
        <f>BaseItem!$I$3</f>
        <v>0</v>
      </c>
      <c r="J17" s="65">
        <f>BaseItem!$J$3</f>
        <v>1</v>
      </c>
      <c r="K17" s="65">
        <f>BaseItem!$K$3+15%</f>
        <v>0.15</v>
      </c>
      <c r="L17" s="62">
        <f>BaseItem!$L$3</f>
        <v>0</v>
      </c>
      <c r="M17" s="62">
        <f>BaseItem!$M$3</f>
        <v>0</v>
      </c>
      <c r="N17" s="58">
        <v>2.0</v>
      </c>
    </row>
    <row r="18">
      <c r="A18" s="59"/>
      <c r="B18" s="98" t="s">
        <v>74</v>
      </c>
      <c r="C18" s="62">
        <f>BaseItem!$C$3+150</f>
        <v>150</v>
      </c>
      <c r="D18" s="62">
        <f>BaseItem!$D$3</f>
        <v>0</v>
      </c>
      <c r="E18" s="62">
        <f>BaseItem!$E$3</f>
        <v>0</v>
      </c>
      <c r="F18" s="62">
        <f>BaseItem!$F$3</f>
        <v>0</v>
      </c>
      <c r="G18" s="62">
        <f>BaseItem!$G$3</f>
        <v>0</v>
      </c>
      <c r="H18" s="62">
        <f>BaseItem!$H$3+10%</f>
        <v>0.1</v>
      </c>
      <c r="I18" s="65">
        <f>BaseItem!$I$3+20%</f>
        <v>0.2</v>
      </c>
      <c r="J18" s="65">
        <f>BaseItem!$J$3</f>
        <v>1</v>
      </c>
      <c r="K18" s="65">
        <f>BaseItem!$K$3</f>
        <v>0</v>
      </c>
      <c r="L18" s="62">
        <f>BaseItem!$L$3</f>
        <v>0</v>
      </c>
      <c r="M18" s="62">
        <f>BaseItem!$M$3</f>
        <v>0</v>
      </c>
      <c r="N18" s="58">
        <v>3.0</v>
      </c>
    </row>
    <row r="19">
      <c r="A19" s="59"/>
      <c r="B19" s="98" t="s">
        <v>77</v>
      </c>
      <c r="C19" s="62">
        <f>BaseItem!$C$3</f>
        <v>0</v>
      </c>
      <c r="D19" s="62">
        <f>BaseItem!$D$3</f>
        <v>0</v>
      </c>
      <c r="E19" s="62">
        <f>BaseItem!$E$3</f>
        <v>0</v>
      </c>
      <c r="F19" s="62">
        <f>BaseItem!$F$3</f>
        <v>0</v>
      </c>
      <c r="G19" s="62">
        <f>BaseItem!$G$3</f>
        <v>0</v>
      </c>
      <c r="H19" s="62">
        <f>BaseItem!$H$3+45%</f>
        <v>0.45</v>
      </c>
      <c r="I19" s="65">
        <f>BaseItem!$I$3</f>
        <v>0</v>
      </c>
      <c r="J19" s="65">
        <f>BaseItem!$J$3</f>
        <v>1</v>
      </c>
      <c r="K19" s="65">
        <f>BaseItem!$K$3</f>
        <v>0</v>
      </c>
      <c r="L19" s="62">
        <f>BaseItem!$L$3+6%</f>
        <v>0.06</v>
      </c>
      <c r="M19" s="62">
        <f>BaseItem!$M$3</f>
        <v>0</v>
      </c>
      <c r="N19" s="58">
        <v>3.0</v>
      </c>
    </row>
    <row r="20">
      <c r="A20" s="59"/>
      <c r="B20" s="98" t="s">
        <v>85</v>
      </c>
      <c r="C20" s="62">
        <f>BaseItem!$C$3+150</f>
        <v>150</v>
      </c>
      <c r="D20" s="62">
        <f>BaseItem!$D$3</f>
        <v>0</v>
      </c>
      <c r="E20" s="62">
        <f>BaseItem!$E$3+15</f>
        <v>15</v>
      </c>
      <c r="F20" s="62">
        <f>BaseItem!$F$3</f>
        <v>0</v>
      </c>
      <c r="G20" s="62">
        <f>BaseItem!$G$3</f>
        <v>0</v>
      </c>
      <c r="H20" s="62">
        <f>BaseItem!$H$3+10%</f>
        <v>0.1</v>
      </c>
      <c r="I20" s="65">
        <f>BaseItem!$I$3+20%</f>
        <v>0.2</v>
      </c>
      <c r="J20" s="65">
        <f>BaseItem!$J$3</f>
        <v>1</v>
      </c>
      <c r="K20" s="65">
        <f>BaseItem!$K$3</f>
        <v>0</v>
      </c>
      <c r="L20" s="62">
        <f>BaseItem!$L$3</f>
        <v>0</v>
      </c>
      <c r="M20" s="62">
        <f>BaseItem!$M$3</f>
        <v>0</v>
      </c>
      <c r="N20" s="58">
        <v>3.0</v>
      </c>
    </row>
    <row r="21" ht="15.75" customHeight="1">
      <c r="A21" s="59"/>
      <c r="B21" s="98" t="s">
        <v>86</v>
      </c>
      <c r="C21" s="62">
        <f>BaseItem!$C$3</f>
        <v>0</v>
      </c>
      <c r="D21" s="62">
        <f>BaseItem!$D$3</f>
        <v>0</v>
      </c>
      <c r="E21" s="62">
        <f>BaseItem!$E$3+15</f>
        <v>15</v>
      </c>
      <c r="F21" s="62">
        <f>BaseItem!$F$3</f>
        <v>0</v>
      </c>
      <c r="G21" s="62">
        <f>BaseItem!$G$3</f>
        <v>0</v>
      </c>
      <c r="H21" s="62">
        <f>BaseItem!$H$3+25%</f>
        <v>0.25</v>
      </c>
      <c r="I21" s="65">
        <f>BaseItem!$I$3</f>
        <v>0</v>
      </c>
      <c r="J21" s="65">
        <f>BaseItem!$J$3</f>
        <v>1</v>
      </c>
      <c r="K21" s="65">
        <f>BaseItem!$K$3</f>
        <v>0</v>
      </c>
      <c r="L21" s="62">
        <f>BaseItem!$L$3</f>
        <v>0</v>
      </c>
      <c r="M21" s="62">
        <f>BaseItem!$M$3</f>
        <v>0</v>
      </c>
      <c r="N21" s="58">
        <v>3.0</v>
      </c>
    </row>
    <row r="22" ht="15.75" customHeight="1">
      <c r="A22" s="59"/>
      <c r="B22" s="98" t="s">
        <v>87</v>
      </c>
      <c r="C22" s="62">
        <f>BaseItem!$C$3</f>
        <v>0</v>
      </c>
      <c r="D22" s="62">
        <f>BaseItem!$D$3+15</f>
        <v>15</v>
      </c>
      <c r="E22" s="62">
        <f>BaseItem!$E$3</f>
        <v>0</v>
      </c>
      <c r="F22" s="62">
        <f>BaseItem!$F$3</f>
        <v>0</v>
      </c>
      <c r="G22" s="62">
        <f>BaseItem!$G$3</f>
        <v>0</v>
      </c>
      <c r="H22" s="62">
        <f>BaseItem!$H$3+20%</f>
        <v>0.2</v>
      </c>
      <c r="I22" s="65">
        <f>BaseItem!$I$3+20%</f>
        <v>0.2</v>
      </c>
      <c r="J22" s="65">
        <f>BaseItem!$J$3</f>
        <v>1</v>
      </c>
      <c r="K22" s="65">
        <f>BaseItem!$K$3</f>
        <v>0</v>
      </c>
      <c r="L22" s="62">
        <f>BaseItem!$L$3</f>
        <v>0</v>
      </c>
      <c r="M22" s="62">
        <f>BaseItem!$M$3</f>
        <v>0</v>
      </c>
      <c r="N22" s="58">
        <v>3.0</v>
      </c>
    </row>
    <row r="23" ht="15.75" customHeight="1">
      <c r="A23" s="59"/>
      <c r="B23" s="98" t="s">
        <v>88</v>
      </c>
      <c r="C23" s="62">
        <f>BaseItem!$C$3</f>
        <v>0</v>
      </c>
      <c r="D23" s="62">
        <f>BaseItem!$D$3</f>
        <v>0</v>
      </c>
      <c r="E23" s="62">
        <f>BaseItem!$E$3</f>
        <v>0</v>
      </c>
      <c r="F23" s="62">
        <f>BaseItem!$F$3</f>
        <v>0</v>
      </c>
      <c r="G23" s="62">
        <f>BaseItem!$G$3+20</f>
        <v>20</v>
      </c>
      <c r="H23" s="62">
        <f>BaseItem!$H$3+15%</f>
        <v>0.15</v>
      </c>
      <c r="I23" s="65">
        <f>BaseItem!$I$3+20%</f>
        <v>0.2</v>
      </c>
      <c r="J23" s="65">
        <f>BaseItem!$J$3</f>
        <v>1</v>
      </c>
      <c r="K23" s="65">
        <f>BaseItem!$K$3</f>
        <v>0</v>
      </c>
      <c r="L23" s="62">
        <f>BaseItem!$L$3</f>
        <v>0</v>
      </c>
      <c r="M23" s="62">
        <f>BaseItem!$M$3</f>
        <v>0</v>
      </c>
      <c r="N23" s="58">
        <v>3.0</v>
      </c>
    </row>
    <row r="24" ht="15.75" customHeight="1">
      <c r="A24" s="59"/>
      <c r="B24" s="114" t="s">
        <v>89</v>
      </c>
      <c r="C24" s="62">
        <f>BaseItem!$C$3+150</f>
        <v>150</v>
      </c>
      <c r="D24" s="62">
        <f>BaseItem!$D$3</f>
        <v>0</v>
      </c>
      <c r="E24" s="62">
        <f>BaseItem!$E$3</f>
        <v>0</v>
      </c>
      <c r="F24" s="62">
        <f>BaseItem!$F$3</f>
        <v>0</v>
      </c>
      <c r="G24" s="62">
        <f>BaseItem!$G$3</f>
        <v>0</v>
      </c>
      <c r="H24" s="62">
        <f>BaseItem!$H$3</f>
        <v>0</v>
      </c>
      <c r="I24" s="65">
        <f>BaseItem!$I$3+20%</f>
        <v>0.2</v>
      </c>
      <c r="J24" s="65">
        <f>BaseItem!$J$3+10%</f>
        <v>1.1</v>
      </c>
      <c r="K24" s="65">
        <f>BaseItem!$K$3</f>
        <v>0</v>
      </c>
      <c r="L24" s="62">
        <f>BaseItem!$L$3</f>
        <v>0</v>
      </c>
      <c r="M24" s="62">
        <f>BaseItem!$M$3</f>
        <v>0</v>
      </c>
      <c r="N24" s="58">
        <v>4.0</v>
      </c>
    </row>
    <row r="25" ht="15.75" customHeight="1">
      <c r="A25" s="59"/>
      <c r="B25" s="114" t="s">
        <v>90</v>
      </c>
      <c r="C25" s="62">
        <f>BaseItem!$C$3+300</f>
        <v>300</v>
      </c>
      <c r="D25" s="62">
        <f>BaseItem!$D$3+40</f>
        <v>40</v>
      </c>
      <c r="E25" s="62">
        <f>BaseItem!$E$3</f>
        <v>0</v>
      </c>
      <c r="F25" s="62">
        <f>BaseItem!$F$3</f>
        <v>0</v>
      </c>
      <c r="G25" s="62">
        <f>BaseItem!$G$3</f>
        <v>0</v>
      </c>
      <c r="H25" s="62">
        <f>BaseItem!$H$3</f>
        <v>0</v>
      </c>
      <c r="I25" s="65">
        <f>BaseItem!$I$3</f>
        <v>0</v>
      </c>
      <c r="J25" s="65">
        <f>BaseItem!$J$3</f>
        <v>1</v>
      </c>
      <c r="K25" s="65">
        <f>BaseItem!$K$3</f>
        <v>0</v>
      </c>
      <c r="L25" s="62">
        <f>BaseItem!$L$3</f>
        <v>0</v>
      </c>
      <c r="M25" s="62">
        <f>BaseItem!$M$3</f>
        <v>0</v>
      </c>
      <c r="N25" s="58">
        <v>4.0</v>
      </c>
    </row>
    <row r="26" ht="15.75" customHeight="1">
      <c r="A26" s="59"/>
      <c r="B26" s="114" t="s">
        <v>91</v>
      </c>
      <c r="C26" s="62">
        <f>BaseItem!$C$3+150</f>
        <v>150</v>
      </c>
      <c r="D26" s="62">
        <f>BaseItem!$D$3</f>
        <v>0</v>
      </c>
      <c r="E26" s="62">
        <f>BaseItem!$E$3</f>
        <v>0</v>
      </c>
      <c r="F26" s="62">
        <f>BaseItem!$F$3+25</f>
        <v>25</v>
      </c>
      <c r="G26" s="62">
        <f>BaseItem!$G$3+25</f>
        <v>25</v>
      </c>
      <c r="H26" s="62">
        <f>BaseItem!$H$3</f>
        <v>0</v>
      </c>
      <c r="I26" s="65">
        <f>BaseItem!$I$3</f>
        <v>0</v>
      </c>
      <c r="J26" s="65">
        <f>BaseItem!$J$3</f>
        <v>1</v>
      </c>
      <c r="K26" s="65">
        <f>BaseItem!$K$3</f>
        <v>0</v>
      </c>
      <c r="L26" s="62">
        <f>BaseItem!$L$3</f>
        <v>0</v>
      </c>
      <c r="M26" s="62">
        <f>BaseItem!$M$3</f>
        <v>0</v>
      </c>
      <c r="N26" s="58">
        <v>4.0</v>
      </c>
    </row>
    <row r="27" ht="15.75" customHeight="1">
      <c r="A27" s="59"/>
      <c r="B27" s="114" t="s">
        <v>92</v>
      </c>
      <c r="C27" s="62">
        <f>BaseItem!$C$3+100</f>
        <v>100</v>
      </c>
      <c r="D27" s="62">
        <f>BaseItem!$D$3</f>
        <v>0</v>
      </c>
      <c r="E27" s="62">
        <f>BaseItem!$E$3</f>
        <v>0</v>
      </c>
      <c r="F27" s="62">
        <f>BaseItem!$F$3+35</f>
        <v>35</v>
      </c>
      <c r="G27" s="62">
        <f>BaseItem!$G$3+35</f>
        <v>35</v>
      </c>
      <c r="H27" s="62">
        <f>BaseItem!$H$3</f>
        <v>0</v>
      </c>
      <c r="I27" s="65">
        <f>BaseItem!$I$3</f>
        <v>0</v>
      </c>
      <c r="J27" s="65">
        <f>BaseItem!$J$3</f>
        <v>1</v>
      </c>
      <c r="K27" s="65">
        <f>BaseItem!$K$3</f>
        <v>0</v>
      </c>
      <c r="L27" s="62">
        <f>BaseItem!$L$3</f>
        <v>0</v>
      </c>
      <c r="M27" s="62">
        <f>BaseItem!$M$3</f>
        <v>0</v>
      </c>
      <c r="N27" s="58">
        <v>4.0</v>
      </c>
    </row>
    <row r="28" ht="15.75" customHeight="1">
      <c r="A28" s="59"/>
      <c r="B28" s="114" t="s">
        <v>93</v>
      </c>
      <c r="C28" s="62">
        <f>BaseItem!$C$3+150</f>
        <v>150</v>
      </c>
      <c r="D28" s="62">
        <f>BaseItem!$D$3</f>
        <v>0</v>
      </c>
      <c r="E28" s="62">
        <f>BaseItem!$E$3</f>
        <v>0</v>
      </c>
      <c r="F28" s="62">
        <f>BaseItem!$F$3</f>
        <v>0</v>
      </c>
      <c r="G28" s="62">
        <f>BaseItem!$G$3+45</f>
        <v>45</v>
      </c>
      <c r="H28" s="62">
        <f>BaseItem!$H$3</f>
        <v>0</v>
      </c>
      <c r="I28" s="65">
        <f>BaseItem!$I$3</f>
        <v>0</v>
      </c>
      <c r="J28" s="65">
        <f>BaseItem!$J$3</f>
        <v>1</v>
      </c>
      <c r="K28" s="65">
        <f>BaseItem!$K$3</f>
        <v>0</v>
      </c>
      <c r="L28" s="62">
        <f>BaseItem!$L$3</f>
        <v>0</v>
      </c>
      <c r="M28" s="62">
        <f>BaseItem!$M$3</f>
        <v>0</v>
      </c>
      <c r="N28" s="58">
        <v>4.0</v>
      </c>
    </row>
    <row r="29" ht="15.75" customHeight="1">
      <c r="A29" s="59"/>
      <c r="B29" s="114" t="s">
        <v>94</v>
      </c>
      <c r="C29" s="62">
        <f>BaseItem!$C$3+150</f>
        <v>150</v>
      </c>
      <c r="D29" s="62">
        <f>BaseItem!$D$3</f>
        <v>0</v>
      </c>
      <c r="E29" s="62">
        <f>BaseItem!$E$3</f>
        <v>0</v>
      </c>
      <c r="F29" s="62">
        <f>BaseItem!$F$3+20</f>
        <v>20</v>
      </c>
      <c r="G29" s="62">
        <f>BaseItem!$G$3</f>
        <v>0</v>
      </c>
      <c r="H29" s="62">
        <f>BaseItem!$H$3</f>
        <v>0</v>
      </c>
      <c r="I29" s="65">
        <f>BaseItem!$I$3+20%</f>
        <v>0.2</v>
      </c>
      <c r="J29" s="65">
        <f>BaseItem!$J$3</f>
        <v>1</v>
      </c>
      <c r="K29" s="65">
        <f>BaseItem!$K$3</f>
        <v>0</v>
      </c>
      <c r="L29" s="62">
        <f>BaseItem!$L$3</f>
        <v>0</v>
      </c>
      <c r="M29" s="62">
        <f>BaseItem!$M$3+18%</f>
        <v>0.18</v>
      </c>
      <c r="N29" s="58">
        <v>4.0</v>
      </c>
    </row>
    <row r="30" ht="15.75" customHeight="1">
      <c r="A30" s="59"/>
      <c r="B30" s="114" t="s">
        <v>95</v>
      </c>
      <c r="C30" s="62">
        <f>BaseItem!$C$3+250</f>
        <v>250</v>
      </c>
      <c r="D30" s="62">
        <f>BaseItem!$D$3</f>
        <v>0</v>
      </c>
      <c r="E30" s="62">
        <f>BaseItem!$E$3</f>
        <v>0</v>
      </c>
      <c r="F30" s="62">
        <f>BaseItem!$F$3+25</f>
        <v>25</v>
      </c>
      <c r="G30" s="62">
        <f>BaseItem!$G$3</f>
        <v>0</v>
      </c>
      <c r="H30" s="62">
        <f>BaseItem!$H$3</f>
        <v>0</v>
      </c>
      <c r="I30" s="65">
        <f>BaseItem!$I$3</f>
        <v>0</v>
      </c>
      <c r="J30" s="65">
        <f>BaseItem!$J$3</f>
        <v>1</v>
      </c>
      <c r="K30" s="65">
        <f>BaseItem!$K$3</f>
        <v>0</v>
      </c>
      <c r="L30" s="62">
        <f>BaseItem!$L$3</f>
        <v>0</v>
      </c>
      <c r="M30" s="62">
        <f>BaseItem!$M$3</f>
        <v>0</v>
      </c>
      <c r="N30" s="58">
        <v>4.0</v>
      </c>
    </row>
    <row r="31" ht="15.75" customHeight="1">
      <c r="A31" s="59"/>
      <c r="B31" s="114" t="s">
        <v>96</v>
      </c>
      <c r="C31" s="62">
        <f>BaseItem!$C$3+750</f>
        <v>750</v>
      </c>
      <c r="D31" s="62">
        <f>BaseItem!$D$3</f>
        <v>0</v>
      </c>
      <c r="E31" s="62">
        <f>BaseItem!$E$3</f>
        <v>0</v>
      </c>
      <c r="F31" s="62">
        <f>BaseItem!$F$3</f>
        <v>0</v>
      </c>
      <c r="G31" s="62">
        <f>BaseItem!$G$3</f>
        <v>0</v>
      </c>
      <c r="H31" s="62">
        <f>BaseItem!$H$3</f>
        <v>0</v>
      </c>
      <c r="I31" s="65">
        <f>BaseItem!$I$3</f>
        <v>0</v>
      </c>
      <c r="J31" s="65">
        <f>BaseItem!$J$3</f>
        <v>1</v>
      </c>
      <c r="K31" s="65">
        <f>BaseItem!$K$3</f>
        <v>0</v>
      </c>
      <c r="L31" s="62">
        <f>BaseItem!$L$3</f>
        <v>0</v>
      </c>
      <c r="M31" s="62">
        <f>BaseItem!$M$3</f>
        <v>0</v>
      </c>
      <c r="N31" s="58">
        <v>4.0</v>
      </c>
    </row>
    <row r="32" ht="15.75" customHeight="1">
      <c r="A32" s="59"/>
      <c r="B32" s="114" t="s">
        <v>97</v>
      </c>
      <c r="C32" s="62">
        <f>BaseItem!$C$3+300</f>
        <v>300</v>
      </c>
      <c r="D32" s="62">
        <f>BaseItem!$D$3</f>
        <v>0</v>
      </c>
      <c r="E32" s="62">
        <f>BaseItem!$E$3</f>
        <v>0</v>
      </c>
      <c r="F32" s="62">
        <f>BaseItem!$F$3</f>
        <v>0</v>
      </c>
      <c r="G32" s="62">
        <f>BaseItem!$G$3</f>
        <v>0</v>
      </c>
      <c r="H32" s="62">
        <f>BaseItem!$H$3</f>
        <v>0</v>
      </c>
      <c r="I32" s="65">
        <f>BaseItem!$I$3</f>
        <v>0</v>
      </c>
      <c r="J32" s="65">
        <f>BaseItem!$J$3</f>
        <v>1</v>
      </c>
      <c r="K32" s="65">
        <f>BaseItem!$K$3</f>
        <v>0</v>
      </c>
      <c r="L32" s="62">
        <f>BaseItem!$L$3</f>
        <v>0</v>
      </c>
      <c r="M32" s="62">
        <f>BaseItem!$M$3+10%</f>
        <v>0.1</v>
      </c>
      <c r="N32" s="58">
        <v>4.0</v>
      </c>
    </row>
    <row r="33" ht="15.75" customHeight="1">
      <c r="A33" s="59"/>
      <c r="B33" s="114" t="s">
        <v>98</v>
      </c>
      <c r="C33" s="62">
        <f>BaseItem!$C$3</f>
        <v>0</v>
      </c>
      <c r="D33" s="62">
        <f>BaseItem!$D$3</f>
        <v>0</v>
      </c>
      <c r="E33" s="62">
        <f>BaseItem!$E$3</f>
        <v>0</v>
      </c>
      <c r="F33" s="62">
        <f>BaseItem!$F$3+65</f>
        <v>65</v>
      </c>
      <c r="G33" s="62">
        <f>BaseItem!$G$3</f>
        <v>0</v>
      </c>
      <c r="H33" s="62">
        <f>BaseItem!$H$3</f>
        <v>0</v>
      </c>
      <c r="I33" s="65">
        <f>BaseItem!$I$3</f>
        <v>0</v>
      </c>
      <c r="J33" s="65">
        <f>BaseItem!$J$3</f>
        <v>1</v>
      </c>
      <c r="K33" s="65">
        <f>BaseItem!$K$3</f>
        <v>0</v>
      </c>
      <c r="L33" s="62">
        <f>BaseItem!$L$3</f>
        <v>0</v>
      </c>
      <c r="M33" s="62">
        <f>BaseItem!$M$3+8%</f>
        <v>0.08</v>
      </c>
      <c r="N33" s="58">
        <v>4.0</v>
      </c>
    </row>
    <row r="34" ht="15.75" customHeight="1">
      <c r="A34" s="59"/>
      <c r="B34" s="114" t="s">
        <v>99</v>
      </c>
      <c r="C34" s="62">
        <f>BaseItem!$C$3</f>
        <v>0</v>
      </c>
      <c r="D34" s="62">
        <f>BaseItem!$D$3</f>
        <v>0</v>
      </c>
      <c r="E34" s="62">
        <f>BaseItem!$E$3</f>
        <v>0</v>
      </c>
      <c r="F34" s="62">
        <f>BaseItem!$F$3+35</f>
        <v>35</v>
      </c>
      <c r="G34" s="62">
        <f>BaseItem!$G$3+55</f>
        <v>55</v>
      </c>
      <c r="H34" s="62">
        <f>BaseItem!$H$3</f>
        <v>0</v>
      </c>
      <c r="I34" s="65">
        <f>BaseItem!$I$3</f>
        <v>0</v>
      </c>
      <c r="J34" s="65">
        <f>BaseItem!$J$3</f>
        <v>1</v>
      </c>
      <c r="K34" s="65">
        <f>BaseItem!$K$3</f>
        <v>0</v>
      </c>
      <c r="L34" s="62">
        <f>BaseItem!$L$3</f>
        <v>0</v>
      </c>
      <c r="M34" s="62">
        <f>BaseItem!$M$3</f>
        <v>0</v>
      </c>
      <c r="N34" s="58">
        <v>4.0</v>
      </c>
    </row>
    <row r="35" ht="15.75" customHeight="1">
      <c r="A35" s="59"/>
      <c r="B35" s="114" t="s">
        <v>100</v>
      </c>
      <c r="C35" s="62">
        <v>100.0</v>
      </c>
      <c r="D35" s="62">
        <f>BaseItem!$D$3</f>
        <v>0</v>
      </c>
      <c r="E35" s="62">
        <f>BaseItem!$E$3+20</f>
        <v>20</v>
      </c>
      <c r="F35" s="62">
        <f>BaseItem!$F$3+20</f>
        <v>20</v>
      </c>
      <c r="G35" s="62">
        <f>BaseItem!$G$3</f>
        <v>0</v>
      </c>
      <c r="H35" s="62">
        <f>BaseItem!$H$3</f>
        <v>0</v>
      </c>
      <c r="I35" s="65">
        <f>BaseItem!$I$3</f>
        <v>0</v>
      </c>
      <c r="J35" s="65">
        <f>BaseItem!$J$3</f>
        <v>1</v>
      </c>
      <c r="K35" s="65">
        <f>BaseItem!$K$3</f>
        <v>0</v>
      </c>
      <c r="L35" s="62">
        <f>BaseItem!$L$3</f>
        <v>0</v>
      </c>
      <c r="M35" s="62">
        <f>BaseItem!$M$3</f>
        <v>0</v>
      </c>
      <c r="N35" s="58">
        <v>4.0</v>
      </c>
    </row>
    <row r="36" ht="15.75" customHeight="1">
      <c r="A36" s="59"/>
      <c r="B36" s="114" t="s">
        <v>101</v>
      </c>
      <c r="C36" s="62">
        <f>BaseItem!$C$3+250</f>
        <v>250</v>
      </c>
      <c r="D36" s="62">
        <f>BaseItem!$D$3</f>
        <v>0</v>
      </c>
      <c r="E36" s="62">
        <f>BaseItem!$E$3+15</f>
        <v>15</v>
      </c>
      <c r="F36" s="62">
        <f>BaseItem!$F$3</f>
        <v>0</v>
      </c>
      <c r="G36" s="62">
        <f>BaseItem!$G$3+35</f>
        <v>35</v>
      </c>
      <c r="H36" s="62">
        <f>BaseItem!$H$3</f>
        <v>0</v>
      </c>
      <c r="I36" s="65">
        <f>BaseItem!$I$3</f>
        <v>0</v>
      </c>
      <c r="J36" s="65">
        <f>BaseItem!$J$3</f>
        <v>1</v>
      </c>
      <c r="K36" s="65">
        <f>BaseItem!$K$3</f>
        <v>0</v>
      </c>
      <c r="L36" s="62">
        <f>BaseItem!$L$3</f>
        <v>0</v>
      </c>
      <c r="M36" s="62">
        <f>BaseItem!$M$3</f>
        <v>0</v>
      </c>
      <c r="N36" s="58">
        <v>4.0</v>
      </c>
    </row>
    <row r="37" ht="15.75" customHeight="1">
      <c r="A37" s="59"/>
      <c r="B37" s="114" t="s">
        <v>32</v>
      </c>
      <c r="C37" s="62">
        <f>BaseItem!$C$3</f>
        <v>0</v>
      </c>
      <c r="D37" s="62">
        <f>BaseItem!$D$3</f>
        <v>0</v>
      </c>
      <c r="E37" s="62">
        <f>BaseItem!$E$3</f>
        <v>0</v>
      </c>
      <c r="F37" s="62">
        <f>BaseItem!$F$3</f>
        <v>0</v>
      </c>
      <c r="G37" s="62">
        <f>BaseItem!$G$3+75</f>
        <v>75</v>
      </c>
      <c r="H37" s="62">
        <f>BaseItem!$H$3</f>
        <v>0</v>
      </c>
      <c r="I37" s="65">
        <f>BaseItem!$I$3</f>
        <v>0</v>
      </c>
      <c r="J37" s="65">
        <f>BaseItem!$J$3</f>
        <v>1</v>
      </c>
      <c r="K37" s="65">
        <f>BaseItem!$K$3</f>
        <v>0</v>
      </c>
      <c r="L37" s="62">
        <f>BaseItem!$L$3</f>
        <v>0</v>
      </c>
      <c r="M37" s="62">
        <f>BaseItem!$M$3+8%</f>
        <v>0.08</v>
      </c>
      <c r="N37" s="58">
        <v>4.0</v>
      </c>
    </row>
    <row r="38" ht="15.75" customHeight="1">
      <c r="A38" s="87"/>
      <c r="B38" s="114" t="s">
        <v>29</v>
      </c>
      <c r="C38" s="115">
        <f>BaseItem!$C$3</f>
        <v>0</v>
      </c>
      <c r="D38" s="115">
        <f>BaseItem!$D$3+15</f>
        <v>15</v>
      </c>
      <c r="E38" s="115">
        <f>BaseItem!$E$3+15</f>
        <v>15</v>
      </c>
      <c r="F38" s="115">
        <f>BaseItem!$F$3+15</f>
        <v>15</v>
      </c>
      <c r="G38" s="115">
        <f>BaseItem!$G$3+15</f>
        <v>15</v>
      </c>
      <c r="H38" s="115">
        <f>BaseItem!$H$3+10%</f>
        <v>0.1</v>
      </c>
      <c r="I38" s="116">
        <f>BaseItem!$I$3</f>
        <v>0</v>
      </c>
      <c r="J38" s="116">
        <f>BaseItem!$J$3</f>
        <v>1</v>
      </c>
      <c r="K38" s="116">
        <f>BaseItem!$K$3</f>
        <v>0</v>
      </c>
      <c r="L38" s="115">
        <f>BaseItem!$L$3</f>
        <v>0</v>
      </c>
      <c r="M38" s="115">
        <f>BaseItem!$M$3</f>
        <v>0</v>
      </c>
      <c r="N38" s="58">
        <v>4.0</v>
      </c>
    </row>
    <row r="39" ht="15.75" customHeight="1"/>
    <row r="40" ht="15.75" customHeight="1">
      <c r="B40" s="70" t="s">
        <v>102</v>
      </c>
      <c r="C40" s="15"/>
    </row>
    <row r="41" ht="15.75" customHeight="1">
      <c r="B41" s="24"/>
      <c r="C41" s="58" t="s">
        <v>57</v>
      </c>
    </row>
    <row r="42" ht="15.75" customHeight="1">
      <c r="B42" s="47"/>
      <c r="C42" s="58" t="s">
        <v>58</v>
      </c>
    </row>
    <row r="43" ht="15.75" customHeight="1">
      <c r="B43" s="57"/>
      <c r="C43" s="58" t="s">
        <v>11</v>
      </c>
    </row>
    <row r="44" ht="15.75" customHeight="1">
      <c r="B44" s="52"/>
      <c r="C44" s="58" t="s">
        <v>59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M1"/>
    <mergeCell ref="A3:A38"/>
    <mergeCell ref="B40:C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63"/>
    <col customWidth="1" min="3" max="3" width="10.13"/>
    <col customWidth="1" min="4" max="4" width="20.88"/>
    <col customWidth="1" min="5" max="5" width="21.13"/>
    <col customWidth="1" min="6" max="8" width="20.63"/>
    <col customWidth="1" min="9" max="9" width="13.38"/>
    <col customWidth="1" min="10" max="10" width="17.13"/>
    <col customWidth="1" min="11" max="11" width="10.25"/>
    <col customWidth="1" min="12" max="26" width="8.63"/>
  </cols>
  <sheetData>
    <row r="2">
      <c r="E2" s="3" t="s">
        <v>2</v>
      </c>
      <c r="F2" s="4"/>
      <c r="G2" s="4"/>
      <c r="H2" s="5"/>
    </row>
    <row r="3">
      <c r="E3" s="6" t="s">
        <v>3</v>
      </c>
      <c r="F3" s="8" t="s">
        <v>5</v>
      </c>
      <c r="G3" s="6" t="s">
        <v>7</v>
      </c>
      <c r="H3" s="8" t="s">
        <v>5</v>
      </c>
    </row>
    <row r="4">
      <c r="E4" s="14" t="s">
        <v>21</v>
      </c>
      <c r="F4" s="16" t="s">
        <v>24</v>
      </c>
      <c r="G4" s="19" t="s">
        <v>26</v>
      </c>
      <c r="H4" s="23" t="s">
        <v>29</v>
      </c>
    </row>
    <row r="5">
      <c r="E5" s="25"/>
      <c r="F5" s="16" t="s">
        <v>31</v>
      </c>
      <c r="G5" s="29"/>
      <c r="H5" s="23" t="s">
        <v>32</v>
      </c>
    </row>
    <row r="6">
      <c r="E6" s="33"/>
      <c r="F6" s="36" t="s">
        <v>29</v>
      </c>
      <c r="G6" s="38"/>
      <c r="H6" s="40" t="s">
        <v>34</v>
      </c>
    </row>
    <row r="8" ht="45.0" customHeight="1">
      <c r="E8" s="44" t="s">
        <v>35</v>
      </c>
      <c r="F8" s="5"/>
      <c r="G8" s="48" t="s">
        <v>37</v>
      </c>
      <c r="H8" s="5"/>
      <c r="J8" s="50"/>
      <c r="K8" s="50"/>
      <c r="L8" s="50"/>
      <c r="M8" s="50"/>
      <c r="N8" s="50"/>
    </row>
    <row r="9">
      <c r="C9" s="53"/>
      <c r="E9" s="53"/>
      <c r="L9" s="50"/>
      <c r="N9" s="50"/>
    </row>
    <row r="10">
      <c r="L10" s="50"/>
      <c r="N10" s="50"/>
    </row>
    <row r="11" ht="15.0" customHeight="1">
      <c r="A11" s="55"/>
      <c r="E11" s="56" t="s">
        <v>40</v>
      </c>
      <c r="F11" s="5"/>
      <c r="G11" s="56" t="s">
        <v>7</v>
      </c>
      <c r="H11" s="5"/>
    </row>
    <row r="12">
      <c r="A12" s="55"/>
      <c r="E12" s="17" t="s">
        <v>3</v>
      </c>
      <c r="F12" s="7" t="s">
        <v>42</v>
      </c>
      <c r="G12" s="17" t="s">
        <v>7</v>
      </c>
      <c r="H12" s="7" t="s">
        <v>43</v>
      </c>
      <c r="I12" s="17" t="s">
        <v>44</v>
      </c>
      <c r="J12" s="17" t="s">
        <v>45</v>
      </c>
    </row>
    <row r="13">
      <c r="A13" s="55"/>
      <c r="C13" s="60" t="s">
        <v>0</v>
      </c>
      <c r="D13" s="61" t="s">
        <v>12</v>
      </c>
      <c r="E13" s="64">
        <f>VLOOKUP($E$4,Champions!$B$3:$M$17,2,FALSE)</f>
        <v>450</v>
      </c>
      <c r="F13" s="64">
        <f>VLOOKUP($F$4,Items!$B$3:$M$38,2,FALSE)+VLOOKUP($F$5,Items!$B$3:$M$38,2,FALSE)+VLOOKUP($F$6,Items!$B$3:$M$38,2,FALSE)</f>
        <v>0</v>
      </c>
      <c r="G13" s="64">
        <f>VLOOKUP($G$4,Champions!$B$3:$M$13,2,FALSE)</f>
        <v>350</v>
      </c>
      <c r="H13" s="67">
        <f>VLOOKUP($H$4,Items!$B$3:$M$38,2,FALSE)+VLOOKUP($H$5,Items!$B$3:$M$38,2,FALSE)+VLOOKUP($H$6,Items!$B$3:$M$38,2,FALSE)</f>
        <v>0</v>
      </c>
      <c r="I13" s="34">
        <f t="shared" ref="I13:I23" si="1">E13+F13</f>
        <v>450</v>
      </c>
      <c r="J13" s="34">
        <f t="shared" ref="J13:J23" si="2">G13+H13</f>
        <v>350</v>
      </c>
    </row>
    <row r="14">
      <c r="A14" s="55"/>
      <c r="C14" s="59"/>
      <c r="D14" s="61" t="s">
        <v>15</v>
      </c>
      <c r="E14" s="64">
        <f>VLOOKUP($E$4,Champions!$B$3:$M$17,3,FALSE)</f>
        <v>45</v>
      </c>
      <c r="F14" s="64">
        <f>VLOOKUP($F$4,Items!$B$3:$M$38,3,FALSE)+VLOOKUP($F$5,Items!$B$3:$M$38,3,FALSE)+VLOOKUP($F$6,Items!$B$3:$M$38,3,FALSE)</f>
        <v>40</v>
      </c>
      <c r="G14" s="64">
        <f>VLOOKUP($G$4,Champions!$B$3:$M$13,3,FALSE)</f>
        <v>70</v>
      </c>
      <c r="H14" s="67">
        <f>VLOOKUP($H$4,Items!$B$3:$M$38,3,FALSE)+VLOOKUP($H$5,Items!$B$3:$M$38,3,FALSE)+VLOOKUP($H$6,Items!$B$3:$M$38,3,FALSE)</f>
        <v>35</v>
      </c>
      <c r="I14" s="34">
        <f t="shared" si="1"/>
        <v>85</v>
      </c>
      <c r="J14" s="34">
        <f t="shared" si="2"/>
        <v>105</v>
      </c>
    </row>
    <row r="15">
      <c r="A15" s="55"/>
      <c r="C15" s="59"/>
      <c r="D15" s="61" t="s">
        <v>19</v>
      </c>
      <c r="E15" s="67">
        <f>VLOOKUP($E$4,Champions!$B$3:$M$17,4,FALSE)</f>
        <v>0</v>
      </c>
      <c r="F15" s="64">
        <f>VLOOKUP($F$4,Items!$B$3:$M$38,4,FALSE)+VLOOKUP($F$5,Items!$B$3:$M$38,4,FALSE)+VLOOKUP($F$6,Items!$B$3:$M$38,4,FALSE)</f>
        <v>35</v>
      </c>
      <c r="G15" s="34">
        <f>VLOOKUP($G$4,Champions!$B$3:$M$13,4,FALSE)</f>
        <v>0</v>
      </c>
      <c r="H15" s="67">
        <f>VLOOKUP($H$4,Items!$B$3:$M$38,4,FALSE)+VLOOKUP($H$5,Items!$B$3:$M$38,4,FALSE)+VLOOKUP($H$6,Items!$B$3:$M$38,4,FALSE)</f>
        <v>35</v>
      </c>
      <c r="I15" s="34">
        <f t="shared" si="1"/>
        <v>35</v>
      </c>
      <c r="J15" s="34">
        <f t="shared" si="2"/>
        <v>35</v>
      </c>
    </row>
    <row r="16">
      <c r="A16" s="55"/>
      <c r="C16" s="59"/>
      <c r="D16" s="61" t="s">
        <v>9</v>
      </c>
      <c r="E16" s="64">
        <f>VLOOKUP($E$4,Champions!$B$3:$M$17,5,FALSE)</f>
        <v>20</v>
      </c>
      <c r="F16" s="64">
        <f>VLOOKUP($F$4,Items!$B$3:$M$38,5,FALSE)+VLOOKUP($F$5,Items!$B$3:$M$38,5,FALSE)+VLOOKUP($F$6,Items!$B$3:$M$38,5,FALSE)</f>
        <v>35</v>
      </c>
      <c r="G16" s="64">
        <f>VLOOKUP($G$4,Champions!$B$3:$M$13,5,FALSE)</f>
        <v>10</v>
      </c>
      <c r="H16" s="67">
        <f>VLOOKUP($H$4,Items!$B$3:$M$38,5,FALSE)+VLOOKUP($H$5,Items!$B$3:$M$38,5,FALSE)+VLOOKUP($H$6,Items!$B$3:$M$38,5,FALSE)</f>
        <v>15</v>
      </c>
      <c r="I16" s="34">
        <f t="shared" si="1"/>
        <v>55</v>
      </c>
      <c r="J16" s="34">
        <f t="shared" si="2"/>
        <v>25</v>
      </c>
    </row>
    <row r="17">
      <c r="A17" s="55"/>
      <c r="C17" s="59"/>
      <c r="D17" s="61" t="s">
        <v>22</v>
      </c>
      <c r="E17" s="64">
        <f>VLOOKUP($E$4,Champions!$B$3:$M$17,6,FALSE)</f>
        <v>20</v>
      </c>
      <c r="F17" s="64">
        <f>VLOOKUP($F$4,Items!$B$3:$M$38,6,FALSE)+VLOOKUP($F$5,Items!$B$3:$M$38,6,FALSE)+VLOOKUP($F$6,Items!$B$3:$M$38,6,FALSE)</f>
        <v>15</v>
      </c>
      <c r="G17" s="64">
        <f>VLOOKUP($G$4,Champions!$B$3:$M$13,6,FALSE)</f>
        <v>10</v>
      </c>
      <c r="H17" s="67">
        <f>VLOOKUP($H$4,Items!$B$3:$M$38,6,FALSE)+VLOOKUP($H$5,Items!$B$3:$M$38,6,FALSE)+VLOOKUP($H$6,Items!$B$3:$M$38,6,FALSE)</f>
        <v>110</v>
      </c>
      <c r="I17" s="34">
        <f t="shared" si="1"/>
        <v>35</v>
      </c>
      <c r="J17" s="34">
        <f t="shared" si="2"/>
        <v>120</v>
      </c>
    </row>
    <row r="18">
      <c r="A18" s="55"/>
      <c r="C18" s="59"/>
      <c r="D18" s="61" t="s">
        <v>23</v>
      </c>
      <c r="E18" s="64">
        <f>VLOOKUP($E$4,Champions!$B$3:$M$17,7,FALSE)</f>
        <v>0.65</v>
      </c>
      <c r="F18" s="64">
        <f>VLOOKUP($F$4,Items!$B$3:$M$38,7,FALSE)+VLOOKUP($F$5,Items!$B$3:$M$38,7,FALSE)+VLOOKUP($F$6,Items!$B$3:$M$38,7,FALSE)</f>
        <v>0.25</v>
      </c>
      <c r="G18" s="64">
        <f>VLOOKUP($G$4,Champions!$B$3:$M$13,7,FALSE)</f>
        <v>0.75</v>
      </c>
      <c r="H18" s="67">
        <f>VLOOKUP($H$4,Items!$B$3:$M$38,7,FALSE)+VLOOKUP($H$5,Items!$B$3:$M$38,7,FALSE)+VLOOKUP($H$6,Items!$B$3:$M$38,7,FALSE)</f>
        <v>0.1</v>
      </c>
      <c r="I18" s="34">
        <f t="shared" si="1"/>
        <v>0.9</v>
      </c>
      <c r="J18" s="34">
        <f t="shared" si="2"/>
        <v>0.85</v>
      </c>
    </row>
    <row r="19">
      <c r="A19" s="55"/>
      <c r="C19" s="59"/>
      <c r="D19" s="61" t="s">
        <v>13</v>
      </c>
      <c r="E19" s="84">
        <f>VLOOKUP($E$4,Champions!$B$3:$M$17,8,FALSE)</f>
        <v>0.25</v>
      </c>
      <c r="F19" s="84">
        <f>VLOOKUP($F$4,Items!$B$3:$M$38,8,FALSE)+VLOOKUP($F$5,Items!$B$3:$M$38,8,FALSE)+VLOOKUP($F$6,Items!$B$3:$M$38,8,FALSE)</f>
        <v>0</v>
      </c>
      <c r="G19" s="84">
        <f>VLOOKUP($G$4,Champions!$B$3:$M$13,8,FALSE)</f>
        <v>0.25</v>
      </c>
      <c r="H19" s="86">
        <f>VLOOKUP($H$4,Items!$B$3:$M$38,8,FALSE)+VLOOKUP($H$5,Items!$B$3:$M$38,8,FALSE)+VLOOKUP($H$6,Items!$B$3:$M$38,8,FALSE)</f>
        <v>0</v>
      </c>
      <c r="I19" s="54">
        <f t="shared" si="1"/>
        <v>0.25</v>
      </c>
      <c r="J19" s="54">
        <f t="shared" si="2"/>
        <v>0.25</v>
      </c>
    </row>
    <row r="20">
      <c r="A20" s="55"/>
      <c r="C20" s="59"/>
      <c r="D20" s="61" t="s">
        <v>14</v>
      </c>
      <c r="E20" s="64">
        <f>VLOOKUP($E$4,Champions!$B$3:$M$17,9,FALSE)</f>
        <v>0</v>
      </c>
      <c r="F20" s="84">
        <f>VLOOKUP($F$4,Items!$B$3:$M$38,9,FALSE)+VLOOKUP($F$5,Items!$B$3:$M$38,9,FALSE)+VLOOKUP($F$6,Items!$B$3:$M$38,9,FALSE)</f>
        <v>3</v>
      </c>
      <c r="G20" s="64">
        <f>VLOOKUP($G$4,Champions!$B$3:$M$13,9,FALSE)</f>
        <v>0</v>
      </c>
      <c r="H20" s="86">
        <f>VLOOKUP($H$4,Items!$B$3:$M$38,9,FALSE)+VLOOKUP($H$5,Items!$B$3:$M$38,9,FALSE)+VLOOKUP($H$6,Items!$B$3:$M$38,9,FALSE)</f>
        <v>3</v>
      </c>
      <c r="I20" s="54">
        <f t="shared" si="1"/>
        <v>3</v>
      </c>
      <c r="J20" s="54">
        <f t="shared" si="2"/>
        <v>3</v>
      </c>
    </row>
    <row r="21" ht="15.75" customHeight="1">
      <c r="A21" s="55"/>
      <c r="C21" s="59"/>
      <c r="D21" s="61" t="s">
        <v>16</v>
      </c>
      <c r="E21" s="64">
        <f>VLOOKUP($E$4,Champions!$B$3:$M$17,10,FALSE)</f>
        <v>0</v>
      </c>
      <c r="F21" s="84">
        <f>VLOOKUP($F$4,Items!$B$3:$M$38,10,FALSE)+VLOOKUP($F$5,Items!$B$3:$M$38,10,FALSE)+VLOOKUP($F$6,Items!$B$3:$M$38,10,FALSE)</f>
        <v>0</v>
      </c>
      <c r="G21" s="64">
        <f>VLOOKUP($G$4,Champions!$B$3:$M$13,10,FALSE)</f>
        <v>0</v>
      </c>
      <c r="H21" s="86">
        <f>VLOOKUP($H$4,Items!$B$3:$M$38,10,FALSE)+VLOOKUP($H$5,Items!$B$3:$M$38,10,FALSE)+VLOOKUP($H$6,Items!$B$3:$M$38,10,FALSE)</f>
        <v>0.2</v>
      </c>
      <c r="I21" s="54">
        <f t="shared" si="1"/>
        <v>0</v>
      </c>
      <c r="J21" s="54">
        <f t="shared" si="2"/>
        <v>0.2</v>
      </c>
    </row>
    <row r="22" ht="15.75" customHeight="1">
      <c r="C22" s="59"/>
      <c r="D22" s="61" t="s">
        <v>18</v>
      </c>
      <c r="E22" s="64">
        <f>VLOOKUP($E$4,Champions!$B$3:$M$17,11,FALSE)</f>
        <v>0</v>
      </c>
      <c r="F22" s="64">
        <f>VLOOKUP($F$4,Items!$B$3:$M$38,11,FALSE)+VLOOKUP($F$5,Items!$B$3:$M$38,11,FALSE)+VLOOKUP($F$6,Items!$B$3:$M$38,11,FALSE)</f>
        <v>0.1</v>
      </c>
      <c r="G22" s="64">
        <f>VLOOKUP($G$4,Champions!$B$3:$M$13,11,FALSE)</f>
        <v>0</v>
      </c>
      <c r="H22" s="67">
        <f>VLOOKUP($H$4,Items!$B$3:$M$38,11,FALSE)+VLOOKUP($H$5,Items!$B$3:$M$38,11,FALSE)+VLOOKUP($H$6,Items!$B$3:$M$38,11,FALSE)</f>
        <v>0</v>
      </c>
      <c r="I22" s="34">
        <f t="shared" si="1"/>
        <v>0.1</v>
      </c>
      <c r="J22" s="34">
        <f t="shared" si="2"/>
        <v>0</v>
      </c>
      <c r="V22" s="53"/>
      <c r="X22" s="53"/>
    </row>
    <row r="23" ht="15.75" customHeight="1">
      <c r="C23" s="87"/>
      <c r="D23" s="61" t="s">
        <v>17</v>
      </c>
      <c r="E23" s="34">
        <f>VLOOKUP($E$4,Champions!$B$3:$M$17,12,FALSE)</f>
        <v>0</v>
      </c>
      <c r="F23" s="34">
        <f>VLOOKUP($F$4,Items!$B$3:$M$38,12,FALSE)+VLOOKUP($F$5,Items!$B$3:$M$38,12,FALSE)+VLOOKUP($F$6,Items!$B$3:$M$38,12,FALSE)</f>
        <v>0</v>
      </c>
      <c r="G23" s="34">
        <f>VLOOKUP($G$4,Champions!$B$3:$M$13,12,FALSE)</f>
        <v>0</v>
      </c>
      <c r="H23" s="34">
        <f>VLOOKUP($H$4,Items!$B$3:$M$38,12,FALSE)+VLOOKUP($H$5,Items!$B$3:$M$38,12,FALSE)+VLOOKUP($H$6,Items!$B$3:$M$38,12,FALSE)</f>
        <v>0.08</v>
      </c>
      <c r="I23" s="34">
        <f t="shared" si="1"/>
        <v>0</v>
      </c>
      <c r="J23" s="34">
        <f t="shared" si="2"/>
        <v>0.08</v>
      </c>
    </row>
    <row r="24" ht="15.75" customHeight="1">
      <c r="T24" s="89"/>
    </row>
    <row r="25" ht="15.75" customHeight="1">
      <c r="E25" s="90" t="s">
        <v>40</v>
      </c>
      <c r="F25" s="91" t="s">
        <v>7</v>
      </c>
    </row>
    <row r="26" ht="15.75" customHeight="1">
      <c r="D26" s="7" t="s">
        <v>69</v>
      </c>
      <c r="E26" s="43">
        <f>(1-$I$19)*(1+$I$19)*$I$20</f>
        <v>2.8125</v>
      </c>
      <c r="F26" s="43">
        <f>(1-J19)*(1+J19)*J20</f>
        <v>2.8125</v>
      </c>
      <c r="K26" s="53"/>
      <c r="M26" s="53"/>
    </row>
    <row r="27" ht="15.75" customHeight="1">
      <c r="D27" s="92"/>
    </row>
    <row r="28" ht="15.75" customHeight="1">
      <c r="H28" s="93" t="s">
        <v>70</v>
      </c>
      <c r="I28" s="4"/>
      <c r="J28" s="4"/>
      <c r="K28" s="4"/>
      <c r="L28" s="4"/>
      <c r="M28" s="5"/>
    </row>
    <row r="29" ht="15.75" customHeight="1">
      <c r="D29" s="94"/>
      <c r="E29" s="90" t="s">
        <v>40</v>
      </c>
      <c r="F29" s="91" t="s">
        <v>7</v>
      </c>
      <c r="H29" s="94" t="s">
        <v>71</v>
      </c>
      <c r="I29" s="95"/>
      <c r="J29" s="95"/>
      <c r="K29" s="95"/>
      <c r="L29" s="95"/>
      <c r="M29" s="96"/>
    </row>
    <row r="30" ht="15.75" customHeight="1">
      <c r="D30" s="97" t="s">
        <v>73</v>
      </c>
      <c r="E30" s="58">
        <f>(((Calculator!I14*VLOOKUP(E4,Champions!B3:P15,14,FALSE)*Calculator!I18)*(IF(RAND()&lt;Calculator!I19,Calculator!I20,1)/(1+Calculator!J16/100)+(Calculator!I15*VLOOKUP(E4,Champions!B3:P15,15,FALSE))/(1+Calculator!J17/100)*(1+Calculator!I23)/(1+Calculator!J22))))</f>
        <v>106.6131818</v>
      </c>
      <c r="F30" s="58">
        <f>(((J14*VLOOKUP(Calculator!G4,Champions!B3:P15,14,FALSE)*Calculator!J18)*IF(RAND()&lt;Calculator!J19,Calculator!J20*1))/(1+Calculator!I16/100)+(Calculator!J15*VLOOKUP(Calculator!G4,Champions!B3:P15,15,FALSE))/(1+Calculator!I17/100)*(1+Calculator!J23)/(1+Calculator!I22))</f>
        <v>1.272727273</v>
      </c>
      <c r="H30" s="76" t="s">
        <v>75</v>
      </c>
      <c r="I30" s="99"/>
      <c r="J30" s="100"/>
      <c r="K30" s="99"/>
      <c r="L30" s="99"/>
      <c r="M30" s="101"/>
    </row>
    <row r="31" ht="15.75" customHeight="1">
      <c r="D31" s="17" t="s">
        <v>16</v>
      </c>
      <c r="E31" s="100">
        <f t="shared" ref="E31:F31" si="3">E30*I21</f>
        <v>0</v>
      </c>
      <c r="F31" s="102">
        <f t="shared" si="3"/>
        <v>0.2545454545</v>
      </c>
      <c r="I31" s="55"/>
    </row>
    <row r="32" ht="15.75" customHeight="1">
      <c r="D32" s="17" t="s">
        <v>76</v>
      </c>
      <c r="E32" s="58">
        <f>I13-F30+E31</f>
        <v>448.7272727</v>
      </c>
      <c r="F32" s="58">
        <f>J13-E30+F31</f>
        <v>243.6413636</v>
      </c>
      <c r="H32" s="103"/>
      <c r="I32" s="55"/>
    </row>
    <row r="33" ht="15.75" customHeight="1">
      <c r="I33" s="55"/>
    </row>
    <row r="34" ht="15.75" customHeight="1">
      <c r="I34" s="55"/>
    </row>
    <row r="35" ht="15.75" customHeight="1">
      <c r="D35" s="104" t="s">
        <v>78</v>
      </c>
      <c r="E35" s="105"/>
      <c r="F35" s="105"/>
      <c r="G35" s="105"/>
      <c r="H35" s="106"/>
      <c r="I35" s="55"/>
    </row>
    <row r="36" ht="15.75" customHeight="1">
      <c r="D36" s="107"/>
      <c r="E36" s="108"/>
      <c r="F36" s="108"/>
      <c r="G36" s="108"/>
      <c r="H36" s="109"/>
      <c r="I36" s="55"/>
      <c r="J36" s="46"/>
      <c r="K36" s="46"/>
      <c r="L36" s="46"/>
    </row>
    <row r="37" ht="15.75" customHeight="1">
      <c r="D37" s="17" t="s">
        <v>79</v>
      </c>
      <c r="E37" s="17" t="s">
        <v>80</v>
      </c>
      <c r="F37" s="17" t="s">
        <v>81</v>
      </c>
      <c r="G37" s="17" t="s">
        <v>82</v>
      </c>
      <c r="H37" s="17" t="s">
        <v>83</v>
      </c>
      <c r="J37" s="110" t="s">
        <v>84</v>
      </c>
      <c r="K37" s="111" t="str">
        <f t="array" ref="K37">INDEX($E$38:$E$117,MATCH(TRUE,($G$38:$G$117&lt;=0)+($H$38:$H$117&lt;=0)&gt;0,0))</f>
        <v>Ally</v>
      </c>
      <c r="L37" s="46"/>
    </row>
    <row r="38" ht="15.75" customHeight="1">
      <c r="D38" s="21">
        <v>1.0</v>
      </c>
      <c r="E38" s="112" t="s">
        <v>40</v>
      </c>
      <c r="F38" s="35">
        <f>$E$30</f>
        <v>106.6131818</v>
      </c>
      <c r="G38" s="35">
        <f t="shared" ref="G38:H38" si="4">E32</f>
        <v>448.7272727</v>
      </c>
      <c r="H38" s="35">
        <f t="shared" si="4"/>
        <v>243.6413636</v>
      </c>
      <c r="J38" s="46"/>
      <c r="K38" s="46"/>
      <c r="L38" s="46"/>
    </row>
    <row r="39" ht="15.75" customHeight="1">
      <c r="D39" s="21">
        <v>2.0</v>
      </c>
      <c r="E39" s="113" t="s">
        <v>7</v>
      </c>
      <c r="F39" s="62">
        <f>$F$30</f>
        <v>1.272727273</v>
      </c>
      <c r="G39" s="62">
        <f>$G38-$F39+$E$31</f>
        <v>447.4545455</v>
      </c>
      <c r="H39" s="62">
        <f>$H38</f>
        <v>243.6413636</v>
      </c>
    </row>
    <row r="40" ht="15.75" customHeight="1">
      <c r="D40" s="21">
        <v>3.0</v>
      </c>
      <c r="E40" s="112" t="s">
        <v>40</v>
      </c>
      <c r="F40" s="35">
        <f>$E$30</f>
        <v>106.6131818</v>
      </c>
      <c r="G40" s="62">
        <f>$G39</f>
        <v>447.4545455</v>
      </c>
      <c r="H40" s="62">
        <f>$H39-$F40+$F$31</f>
        <v>137.2827273</v>
      </c>
    </row>
    <row r="41" ht="15.75" customHeight="1">
      <c r="D41" s="21">
        <v>4.0</v>
      </c>
      <c r="E41" s="113" t="s">
        <v>7</v>
      </c>
      <c r="F41" s="62">
        <f>$F$30</f>
        <v>1.272727273</v>
      </c>
      <c r="G41" s="62">
        <f>$G40-$F41+$E$31</f>
        <v>446.1818182</v>
      </c>
      <c r="H41" s="62">
        <f>$H40</f>
        <v>137.2827273</v>
      </c>
    </row>
    <row r="42" ht="15.75" customHeight="1">
      <c r="D42" s="21">
        <v>5.0</v>
      </c>
      <c r="E42" s="112" t="s">
        <v>40</v>
      </c>
      <c r="F42" s="35">
        <f>$E$30</f>
        <v>106.6131818</v>
      </c>
      <c r="G42" s="62">
        <f>$G41</f>
        <v>446.1818182</v>
      </c>
      <c r="H42" s="62">
        <f>$H41-$F41+$F$31</f>
        <v>136.2645455</v>
      </c>
    </row>
    <row r="43" ht="15.75" customHeight="1">
      <c r="D43" s="21">
        <v>6.0</v>
      </c>
      <c r="E43" s="113" t="s">
        <v>7</v>
      </c>
      <c r="F43" s="62">
        <f>$F$30</f>
        <v>1.272727273</v>
      </c>
      <c r="G43" s="62">
        <f>$G42-$F43+$E$31</f>
        <v>444.9090909</v>
      </c>
      <c r="H43" s="62">
        <f>$H42</f>
        <v>136.2645455</v>
      </c>
    </row>
    <row r="44" ht="15.75" customHeight="1">
      <c r="D44" s="21">
        <v>7.0</v>
      </c>
      <c r="E44" s="112" t="s">
        <v>40</v>
      </c>
      <c r="F44" s="35">
        <f>$E$30</f>
        <v>106.6131818</v>
      </c>
      <c r="G44" s="62">
        <f>$G43</f>
        <v>444.9090909</v>
      </c>
      <c r="H44" s="62">
        <f>$H43-$F44+$F$31</f>
        <v>29.90590909</v>
      </c>
    </row>
    <row r="45" ht="15.75" customHeight="1">
      <c r="D45" s="21">
        <v>8.0</v>
      </c>
      <c r="E45" s="113" t="s">
        <v>7</v>
      </c>
      <c r="F45" s="62">
        <f>$F$30</f>
        <v>1.272727273</v>
      </c>
      <c r="G45" s="62">
        <f>$G44-$F45+$E$31</f>
        <v>443.6363636</v>
      </c>
      <c r="H45" s="62">
        <f>$H44</f>
        <v>29.90590909</v>
      </c>
    </row>
    <row r="46" ht="15.75" customHeight="1">
      <c r="D46" s="21">
        <v>9.0</v>
      </c>
      <c r="E46" s="112" t="s">
        <v>40</v>
      </c>
      <c r="F46" s="35">
        <f>$E$30</f>
        <v>106.6131818</v>
      </c>
      <c r="G46" s="62">
        <f>$G45</f>
        <v>443.6363636</v>
      </c>
      <c r="H46" s="62">
        <f>$H45-$F45+$F$31</f>
        <v>28.88772727</v>
      </c>
    </row>
    <row r="47" ht="15.75" customHeight="1">
      <c r="D47" s="21">
        <v>10.0</v>
      </c>
      <c r="E47" s="113" t="s">
        <v>7</v>
      </c>
      <c r="F47" s="62">
        <f>$F$30</f>
        <v>1.272727273</v>
      </c>
      <c r="G47" s="62">
        <f>$G46-$F47+$E$31</f>
        <v>442.3636364</v>
      </c>
      <c r="H47" s="62">
        <f>$H46</f>
        <v>28.88772727</v>
      </c>
    </row>
    <row r="48" ht="15.75" customHeight="1">
      <c r="D48" s="21">
        <v>11.0</v>
      </c>
      <c r="E48" s="112" t="s">
        <v>40</v>
      </c>
      <c r="F48" s="35">
        <f>$E$30</f>
        <v>106.6131818</v>
      </c>
      <c r="G48" s="62">
        <f>$G47</f>
        <v>442.3636364</v>
      </c>
      <c r="H48" s="62">
        <f>$H47-$F48+$F$31</f>
        <v>-77.47090909</v>
      </c>
    </row>
    <row r="49" ht="15.75" customHeight="1">
      <c r="D49" s="21">
        <v>12.0</v>
      </c>
      <c r="E49" s="113" t="s">
        <v>7</v>
      </c>
      <c r="F49" s="62">
        <f>$F$30</f>
        <v>1.272727273</v>
      </c>
      <c r="G49" s="62">
        <f>$G48-$F49+$E$31</f>
        <v>441.0909091</v>
      </c>
      <c r="H49" s="62">
        <f>$H48</f>
        <v>-77.47090909</v>
      </c>
    </row>
    <row r="50" ht="15.75" customHeight="1">
      <c r="D50" s="21">
        <v>13.0</v>
      </c>
      <c r="E50" s="112" t="s">
        <v>40</v>
      </c>
      <c r="F50" s="35">
        <f>$E$30</f>
        <v>106.6131818</v>
      </c>
      <c r="G50" s="62">
        <f>$G49</f>
        <v>441.0909091</v>
      </c>
      <c r="H50" s="62">
        <f>$H49-$F49+$F$31</f>
        <v>-78.48909091</v>
      </c>
    </row>
    <row r="51" ht="15.75" customHeight="1">
      <c r="D51" s="21">
        <v>14.0</v>
      </c>
      <c r="E51" s="113" t="s">
        <v>7</v>
      </c>
      <c r="F51" s="62">
        <f>$F$30</f>
        <v>1.272727273</v>
      </c>
      <c r="G51" s="62">
        <f>$G50-$F51+$E$31</f>
        <v>439.8181818</v>
      </c>
      <c r="H51" s="62">
        <f>$H50</f>
        <v>-78.48909091</v>
      </c>
    </row>
    <row r="52" ht="15.75" customHeight="1">
      <c r="D52" s="21">
        <v>15.0</v>
      </c>
      <c r="E52" s="112" t="s">
        <v>40</v>
      </c>
      <c r="F52" s="35">
        <f>$E$30</f>
        <v>106.6131818</v>
      </c>
      <c r="G52" s="62">
        <f>$G51</f>
        <v>439.8181818</v>
      </c>
      <c r="H52" s="62">
        <f>$H51-$F52+$F$31</f>
        <v>-184.8477273</v>
      </c>
    </row>
    <row r="53" ht="15.75" customHeight="1">
      <c r="D53" s="21">
        <v>16.0</v>
      </c>
      <c r="E53" s="113" t="s">
        <v>7</v>
      </c>
      <c r="F53" s="62">
        <f>$F$30</f>
        <v>1.272727273</v>
      </c>
      <c r="G53" s="62">
        <f>$G52-$F53+$E$31</f>
        <v>438.5454545</v>
      </c>
      <c r="H53" s="62">
        <f>$H52</f>
        <v>-184.8477273</v>
      </c>
    </row>
    <row r="54" ht="15.75" customHeight="1">
      <c r="D54" s="21">
        <v>17.0</v>
      </c>
      <c r="E54" s="112" t="s">
        <v>40</v>
      </c>
      <c r="F54" s="35">
        <f>$E$30</f>
        <v>106.6131818</v>
      </c>
      <c r="G54" s="62">
        <f>$G53</f>
        <v>438.5454545</v>
      </c>
      <c r="H54" s="62">
        <f>$H53-$F53+$F$31</f>
        <v>-185.8659091</v>
      </c>
    </row>
    <row r="55" ht="15.75" customHeight="1">
      <c r="D55" s="21">
        <v>18.0</v>
      </c>
      <c r="E55" s="113" t="s">
        <v>7</v>
      </c>
      <c r="F55" s="62">
        <f>$F$30</f>
        <v>1.272727273</v>
      </c>
      <c r="G55" s="62">
        <f>$G54-$F55+$E$31</f>
        <v>437.2727273</v>
      </c>
      <c r="H55" s="62">
        <f>$H54</f>
        <v>-185.8659091</v>
      </c>
    </row>
    <row r="56" ht="15.75" customHeight="1">
      <c r="D56" s="21">
        <v>19.0</v>
      </c>
      <c r="E56" s="112" t="s">
        <v>40</v>
      </c>
      <c r="F56" s="35">
        <f>$E$30</f>
        <v>106.6131818</v>
      </c>
      <c r="G56" s="62">
        <f>$G55</f>
        <v>437.2727273</v>
      </c>
      <c r="H56" s="62">
        <f>$H55-$F56+$F$31</f>
        <v>-292.2245455</v>
      </c>
    </row>
    <row r="57" ht="15.75" customHeight="1">
      <c r="D57" s="21">
        <v>20.0</v>
      </c>
      <c r="E57" s="113" t="s">
        <v>7</v>
      </c>
      <c r="F57" s="62">
        <f>$F$30</f>
        <v>1.272727273</v>
      </c>
      <c r="G57" s="62">
        <f>$G56-$F57+$E$31</f>
        <v>436</v>
      </c>
      <c r="H57" s="62">
        <f>$H56</f>
        <v>-292.2245455</v>
      </c>
    </row>
    <row r="58" ht="15.75" customHeight="1">
      <c r="D58" s="21">
        <v>21.0</v>
      </c>
      <c r="E58" s="112" t="s">
        <v>40</v>
      </c>
      <c r="F58" s="35">
        <f>$E$30</f>
        <v>106.6131818</v>
      </c>
      <c r="G58" s="62">
        <f>$G57</f>
        <v>436</v>
      </c>
      <c r="H58" s="62">
        <f>$H57-$F57+$F$31</f>
        <v>-293.2427273</v>
      </c>
    </row>
    <row r="59" ht="15.75" customHeight="1">
      <c r="D59" s="21">
        <v>22.0</v>
      </c>
      <c r="E59" s="113" t="s">
        <v>7</v>
      </c>
      <c r="F59" s="62">
        <f>$F$30</f>
        <v>1.272727273</v>
      </c>
      <c r="G59" s="62">
        <f>$G58-$F59+$E$31</f>
        <v>434.7272727</v>
      </c>
      <c r="H59" s="62">
        <f>$H58</f>
        <v>-293.2427273</v>
      </c>
    </row>
    <row r="60" ht="15.75" customHeight="1">
      <c r="D60" s="21">
        <v>23.0</v>
      </c>
      <c r="E60" s="112" t="s">
        <v>40</v>
      </c>
      <c r="F60" s="35">
        <f>$E$30</f>
        <v>106.6131818</v>
      </c>
      <c r="G60" s="62">
        <f>$G59</f>
        <v>434.7272727</v>
      </c>
      <c r="H60" s="62">
        <f>$H59-$F60+$F$31</f>
        <v>-399.6013636</v>
      </c>
    </row>
    <row r="61" ht="15.75" customHeight="1">
      <c r="D61" s="21">
        <v>24.0</v>
      </c>
      <c r="E61" s="113" t="s">
        <v>7</v>
      </c>
      <c r="F61" s="62">
        <f>$F$30</f>
        <v>1.272727273</v>
      </c>
      <c r="G61" s="62">
        <f>$G60-$F61+$E$31</f>
        <v>433.4545455</v>
      </c>
      <c r="H61" s="62">
        <f>$H60</f>
        <v>-399.6013636</v>
      </c>
    </row>
    <row r="62" ht="15.75" customHeight="1">
      <c r="D62" s="21">
        <v>25.0</v>
      </c>
      <c r="E62" s="112" t="s">
        <v>40</v>
      </c>
      <c r="F62" s="35">
        <f>$E$30</f>
        <v>106.6131818</v>
      </c>
      <c r="G62" s="62">
        <f>$G61</f>
        <v>433.4545455</v>
      </c>
      <c r="H62" s="62">
        <f>$H61-$F61+$F$31</f>
        <v>-400.6195455</v>
      </c>
    </row>
    <row r="63" ht="15.75" customHeight="1">
      <c r="D63" s="21">
        <v>26.0</v>
      </c>
      <c r="E63" s="113" t="s">
        <v>7</v>
      </c>
      <c r="F63" s="62">
        <f>$F$30</f>
        <v>1.272727273</v>
      </c>
      <c r="G63" s="62">
        <f>$G62-$F63+$E$31</f>
        <v>432.1818182</v>
      </c>
      <c r="H63" s="62">
        <f>$H62</f>
        <v>-400.6195455</v>
      </c>
    </row>
    <row r="64" ht="15.75" customHeight="1">
      <c r="D64" s="21">
        <v>27.0</v>
      </c>
      <c r="E64" s="112" t="s">
        <v>40</v>
      </c>
      <c r="F64" s="35">
        <f>$E$30</f>
        <v>106.6131818</v>
      </c>
      <c r="G64" s="62">
        <f>$G63</f>
        <v>432.1818182</v>
      </c>
      <c r="H64" s="62">
        <f>$H63-$F64+$F$31</f>
        <v>-506.9781818</v>
      </c>
    </row>
    <row r="65" ht="15.75" customHeight="1">
      <c r="D65" s="21">
        <v>28.0</v>
      </c>
      <c r="E65" s="113" t="s">
        <v>7</v>
      </c>
      <c r="F65" s="62">
        <f>$F$30</f>
        <v>1.272727273</v>
      </c>
      <c r="G65" s="62">
        <f>$G64-$F65+$E$31</f>
        <v>430.9090909</v>
      </c>
      <c r="H65" s="62">
        <f>$H64</f>
        <v>-506.9781818</v>
      </c>
    </row>
    <row r="66" ht="15.75" customHeight="1">
      <c r="D66" s="21">
        <v>29.0</v>
      </c>
      <c r="E66" s="112" t="s">
        <v>40</v>
      </c>
      <c r="F66" s="35">
        <f>$E$30</f>
        <v>106.6131818</v>
      </c>
      <c r="G66" s="62">
        <f>$G65</f>
        <v>430.9090909</v>
      </c>
      <c r="H66" s="62">
        <f>$H65-$F65+$F$31</f>
        <v>-507.9963636</v>
      </c>
    </row>
    <row r="67" ht="15.75" customHeight="1">
      <c r="D67" s="21">
        <v>30.0</v>
      </c>
      <c r="E67" s="113" t="s">
        <v>7</v>
      </c>
      <c r="F67" s="62">
        <f>$F$30</f>
        <v>1.272727273</v>
      </c>
      <c r="G67" s="62">
        <f>$G66-$F67+$E$31</f>
        <v>429.6363636</v>
      </c>
      <c r="H67" s="62">
        <f>$H66</f>
        <v>-507.9963636</v>
      </c>
    </row>
    <row r="68" ht="15.75" customHeight="1">
      <c r="D68" s="21">
        <v>31.0</v>
      </c>
      <c r="E68" s="112" t="s">
        <v>40</v>
      </c>
      <c r="F68" s="35">
        <f>$E$30</f>
        <v>106.6131818</v>
      </c>
      <c r="G68" s="62">
        <f>$G67</f>
        <v>429.6363636</v>
      </c>
      <c r="H68" s="62">
        <f>$H67-$F68+$F$31</f>
        <v>-614.355</v>
      </c>
    </row>
    <row r="69" ht="15.75" customHeight="1">
      <c r="D69" s="21">
        <v>32.0</v>
      </c>
      <c r="E69" s="113" t="s">
        <v>7</v>
      </c>
      <c r="F69" s="62">
        <f>$F$30</f>
        <v>1.272727273</v>
      </c>
      <c r="G69" s="62">
        <f>$G68-$F69+$E$31</f>
        <v>428.3636364</v>
      </c>
      <c r="H69" s="62">
        <f>$H68</f>
        <v>-614.355</v>
      </c>
    </row>
    <row r="70" ht="15.75" customHeight="1">
      <c r="D70" s="21">
        <v>33.0</v>
      </c>
      <c r="E70" s="112" t="s">
        <v>40</v>
      </c>
      <c r="F70" s="35">
        <f>$E$30</f>
        <v>106.6131818</v>
      </c>
      <c r="G70" s="62">
        <f>$G69</f>
        <v>428.3636364</v>
      </c>
      <c r="H70" s="62">
        <f>$H69-$F69+$F$31</f>
        <v>-615.3731818</v>
      </c>
    </row>
    <row r="71" ht="15.75" customHeight="1">
      <c r="D71" s="21">
        <v>34.0</v>
      </c>
      <c r="E71" s="113" t="s">
        <v>7</v>
      </c>
      <c r="F71" s="62">
        <f>$F$30</f>
        <v>1.272727273</v>
      </c>
      <c r="G71" s="62">
        <f>$G70-$F71+$E$31</f>
        <v>427.0909091</v>
      </c>
      <c r="H71" s="62">
        <f>$H70</f>
        <v>-615.3731818</v>
      </c>
    </row>
    <row r="72" ht="15.75" customHeight="1">
      <c r="D72" s="21">
        <v>35.0</v>
      </c>
      <c r="E72" s="112" t="s">
        <v>40</v>
      </c>
      <c r="F72" s="35">
        <f>$E$30</f>
        <v>106.6131818</v>
      </c>
      <c r="G72" s="62">
        <f>$G71</f>
        <v>427.0909091</v>
      </c>
      <c r="H72" s="62">
        <f>$H71-$F72+$F$31</f>
        <v>-721.7318182</v>
      </c>
    </row>
    <row r="73" ht="15.75" customHeight="1">
      <c r="D73" s="21">
        <v>36.0</v>
      </c>
      <c r="E73" s="113" t="s">
        <v>7</v>
      </c>
      <c r="F73" s="62">
        <f>$F$30</f>
        <v>1.272727273</v>
      </c>
      <c r="G73" s="62">
        <f>$G72-$F73+$E$31</f>
        <v>425.8181818</v>
      </c>
      <c r="H73" s="62">
        <f>$H72</f>
        <v>-721.7318182</v>
      </c>
    </row>
    <row r="74" ht="15.75" customHeight="1">
      <c r="D74" s="21">
        <v>37.0</v>
      </c>
      <c r="E74" s="112" t="s">
        <v>40</v>
      </c>
      <c r="F74" s="35">
        <f>$E$30</f>
        <v>106.6131818</v>
      </c>
      <c r="G74" s="62">
        <f>$G73</f>
        <v>425.8181818</v>
      </c>
      <c r="H74" s="62">
        <f>$H73-$F73+$F$31</f>
        <v>-722.75</v>
      </c>
    </row>
    <row r="75" ht="15.75" customHeight="1">
      <c r="D75" s="21">
        <v>38.0</v>
      </c>
      <c r="E75" s="113" t="s">
        <v>7</v>
      </c>
      <c r="F75" s="62">
        <f>$F$30</f>
        <v>1.272727273</v>
      </c>
      <c r="G75" s="62">
        <f>$G74-$F75+$E$31</f>
        <v>424.5454545</v>
      </c>
      <c r="H75" s="62">
        <f>$H74</f>
        <v>-722.75</v>
      </c>
    </row>
    <row r="76" ht="15.75" customHeight="1">
      <c r="D76" s="21">
        <v>39.0</v>
      </c>
      <c r="E76" s="112" t="s">
        <v>40</v>
      </c>
      <c r="F76" s="35">
        <f>$E$30</f>
        <v>106.6131818</v>
      </c>
      <c r="G76" s="62">
        <f>$G75</f>
        <v>424.5454545</v>
      </c>
      <c r="H76" s="62">
        <f>$H75-$F76+$F$31</f>
        <v>-829.1086364</v>
      </c>
    </row>
    <row r="77" ht="15.75" customHeight="1">
      <c r="D77" s="21">
        <v>40.0</v>
      </c>
      <c r="E77" s="113" t="s">
        <v>7</v>
      </c>
      <c r="F77" s="62">
        <f>$F$30</f>
        <v>1.272727273</v>
      </c>
      <c r="G77" s="62">
        <f>$G76-$F77+$E$31</f>
        <v>423.2727273</v>
      </c>
      <c r="H77" s="62">
        <f>$H76</f>
        <v>-829.1086364</v>
      </c>
    </row>
    <row r="78" ht="15.75" customHeight="1">
      <c r="D78" s="21">
        <v>41.0</v>
      </c>
      <c r="E78" s="112" t="s">
        <v>40</v>
      </c>
      <c r="F78" s="35">
        <f>$E$30</f>
        <v>106.6131818</v>
      </c>
      <c r="G78" s="62">
        <f>$G77</f>
        <v>423.2727273</v>
      </c>
      <c r="H78" s="62">
        <f>$H77-$F77+$F$31</f>
        <v>-830.1268182</v>
      </c>
    </row>
    <row r="79" ht="15.75" customHeight="1">
      <c r="D79" s="21">
        <v>42.0</v>
      </c>
      <c r="E79" s="113" t="s">
        <v>7</v>
      </c>
      <c r="F79" s="62">
        <f>$F$30</f>
        <v>1.272727273</v>
      </c>
      <c r="G79" s="62">
        <f>$G78-$F79+$E$31</f>
        <v>422</v>
      </c>
      <c r="H79" s="62">
        <f>$H78</f>
        <v>-830.1268182</v>
      </c>
    </row>
    <row r="80" ht="15.75" customHeight="1">
      <c r="D80" s="21">
        <v>43.0</v>
      </c>
      <c r="E80" s="112" t="s">
        <v>40</v>
      </c>
      <c r="F80" s="35">
        <f>$E$30</f>
        <v>106.6131818</v>
      </c>
      <c r="G80" s="62">
        <f>$G79</f>
        <v>422</v>
      </c>
      <c r="H80" s="62">
        <f>$H79-$F80+$F$31</f>
        <v>-936.4854545</v>
      </c>
    </row>
    <row r="81" ht="15.75" customHeight="1">
      <c r="D81" s="21">
        <v>44.0</v>
      </c>
      <c r="E81" s="113" t="s">
        <v>7</v>
      </c>
      <c r="F81" s="62">
        <f>$F$30</f>
        <v>1.272727273</v>
      </c>
      <c r="G81" s="62">
        <f>$G80-$F81+$E$31</f>
        <v>420.7272727</v>
      </c>
      <c r="H81" s="62">
        <f>$H80</f>
        <v>-936.4854545</v>
      </c>
    </row>
    <row r="82" ht="15.75" customHeight="1">
      <c r="D82" s="21">
        <v>45.0</v>
      </c>
      <c r="E82" s="112" t="s">
        <v>40</v>
      </c>
      <c r="F82" s="35">
        <f>$E$30</f>
        <v>106.6131818</v>
      </c>
      <c r="G82" s="62">
        <f>$G81</f>
        <v>420.7272727</v>
      </c>
      <c r="H82" s="62">
        <f>$H81-$F81+$F$31</f>
        <v>-937.5036364</v>
      </c>
    </row>
    <row r="83" ht="15.75" customHeight="1">
      <c r="D83" s="21">
        <v>46.0</v>
      </c>
      <c r="E83" s="113" t="s">
        <v>7</v>
      </c>
      <c r="F83" s="62">
        <f>$F$30</f>
        <v>1.272727273</v>
      </c>
      <c r="G83" s="62">
        <f>$G82-$F83+$E$31</f>
        <v>419.4545455</v>
      </c>
      <c r="H83" s="62">
        <f>$H82</f>
        <v>-937.5036364</v>
      </c>
    </row>
    <row r="84" ht="15.75" customHeight="1">
      <c r="D84" s="21">
        <v>47.0</v>
      </c>
      <c r="E84" s="112" t="s">
        <v>40</v>
      </c>
      <c r="F84" s="35">
        <f>$E$30</f>
        <v>106.6131818</v>
      </c>
      <c r="G84" s="62">
        <f>$G83</f>
        <v>419.4545455</v>
      </c>
      <c r="H84" s="62">
        <f>$H83-$F84+$F$31</f>
        <v>-1043.862273</v>
      </c>
    </row>
    <row r="85" ht="15.75" customHeight="1">
      <c r="D85" s="21">
        <v>48.0</v>
      </c>
      <c r="E85" s="113" t="s">
        <v>7</v>
      </c>
      <c r="F85" s="62">
        <f>$F$30</f>
        <v>1.272727273</v>
      </c>
      <c r="G85" s="62">
        <f>$G84-$F85+$E$31</f>
        <v>418.1818182</v>
      </c>
      <c r="H85" s="62">
        <f>$H84</f>
        <v>-1043.862273</v>
      </c>
    </row>
    <row r="86" ht="15.75" customHeight="1">
      <c r="D86" s="21">
        <v>49.0</v>
      </c>
      <c r="E86" s="112" t="s">
        <v>40</v>
      </c>
      <c r="F86" s="35">
        <f>$E$30</f>
        <v>106.6131818</v>
      </c>
      <c r="G86" s="62">
        <f>$G85</f>
        <v>418.1818182</v>
      </c>
      <c r="H86" s="62">
        <f>$H85-$F85+$F$31</f>
        <v>-1044.880455</v>
      </c>
    </row>
    <row r="87" ht="15.75" customHeight="1">
      <c r="D87" s="21">
        <v>50.0</v>
      </c>
      <c r="E87" s="113" t="s">
        <v>7</v>
      </c>
      <c r="F87" s="62">
        <f>$F$30</f>
        <v>1.272727273</v>
      </c>
      <c r="G87" s="62">
        <f>$G86-$F87+$E$31</f>
        <v>416.9090909</v>
      </c>
      <c r="H87" s="62">
        <f>$H86</f>
        <v>-1044.880455</v>
      </c>
    </row>
    <row r="88" ht="15.75" customHeight="1">
      <c r="D88" s="21">
        <v>51.0</v>
      </c>
      <c r="E88" s="112" t="s">
        <v>40</v>
      </c>
      <c r="F88" s="35">
        <f>$E$30</f>
        <v>106.6131818</v>
      </c>
      <c r="G88" s="62">
        <f>$G87</f>
        <v>416.9090909</v>
      </c>
      <c r="H88" s="62">
        <f>$H87-$F88+$F$31</f>
        <v>-1151.239091</v>
      </c>
    </row>
    <row r="89" ht="15.75" customHeight="1">
      <c r="D89" s="21">
        <v>52.0</v>
      </c>
      <c r="E89" s="113" t="s">
        <v>7</v>
      </c>
      <c r="F89" s="62">
        <f>$F$30</f>
        <v>1.272727273</v>
      </c>
      <c r="G89" s="62">
        <f>$G88-$F89+$E$31</f>
        <v>415.6363636</v>
      </c>
      <c r="H89" s="62">
        <f>$H88</f>
        <v>-1151.239091</v>
      </c>
    </row>
    <row r="90" ht="15.75" customHeight="1">
      <c r="D90" s="21">
        <v>53.0</v>
      </c>
      <c r="E90" s="112" t="s">
        <v>40</v>
      </c>
      <c r="F90" s="35">
        <f>$E$30</f>
        <v>106.6131818</v>
      </c>
      <c r="G90" s="62">
        <f>$G89</f>
        <v>415.6363636</v>
      </c>
      <c r="H90" s="62">
        <f>$H89-$F89+$F$31</f>
        <v>-1152.257273</v>
      </c>
    </row>
    <row r="91" ht="15.75" customHeight="1">
      <c r="D91" s="21">
        <v>54.0</v>
      </c>
      <c r="E91" s="113" t="s">
        <v>7</v>
      </c>
      <c r="F91" s="62">
        <f>$F$30</f>
        <v>1.272727273</v>
      </c>
      <c r="G91" s="62">
        <f>$G90-$F91+$E$31</f>
        <v>414.3636364</v>
      </c>
      <c r="H91" s="62">
        <f>$H90</f>
        <v>-1152.257273</v>
      </c>
    </row>
    <row r="92" ht="15.75" customHeight="1">
      <c r="D92" s="21">
        <v>55.0</v>
      </c>
      <c r="E92" s="112" t="s">
        <v>40</v>
      </c>
      <c r="F92" s="35">
        <f>$E$30</f>
        <v>106.6131818</v>
      </c>
      <c r="G92" s="62">
        <f>$G91</f>
        <v>414.3636364</v>
      </c>
      <c r="H92" s="62">
        <f>$H91-$F92+$F$31</f>
        <v>-1258.615909</v>
      </c>
    </row>
    <row r="93" ht="15.75" customHeight="1">
      <c r="D93" s="21">
        <v>56.0</v>
      </c>
      <c r="E93" s="113" t="s">
        <v>7</v>
      </c>
      <c r="F93" s="62">
        <f>$F$30</f>
        <v>1.272727273</v>
      </c>
      <c r="G93" s="62">
        <f>$G92-$F93+$E$31</f>
        <v>413.0909091</v>
      </c>
      <c r="H93" s="62">
        <f>$H92</f>
        <v>-1258.615909</v>
      </c>
    </row>
    <row r="94" ht="15.75" customHeight="1">
      <c r="D94" s="21">
        <v>57.0</v>
      </c>
      <c r="E94" s="112" t="s">
        <v>40</v>
      </c>
      <c r="F94" s="35">
        <f>$E$30</f>
        <v>106.6131818</v>
      </c>
      <c r="G94" s="62">
        <f>$G93</f>
        <v>413.0909091</v>
      </c>
      <c r="H94" s="62">
        <f>$H93-$F93+$F$31</f>
        <v>-1259.634091</v>
      </c>
    </row>
    <row r="95" ht="15.75" customHeight="1">
      <c r="D95" s="21">
        <v>58.0</v>
      </c>
      <c r="E95" s="113" t="s">
        <v>7</v>
      </c>
      <c r="F95" s="62">
        <f>$F$30</f>
        <v>1.272727273</v>
      </c>
      <c r="G95" s="62">
        <f>$G94-$F95+$E$31</f>
        <v>411.8181818</v>
      </c>
      <c r="H95" s="62">
        <f>$H94</f>
        <v>-1259.634091</v>
      </c>
    </row>
    <row r="96" ht="15.75" customHeight="1">
      <c r="D96" s="21">
        <v>59.0</v>
      </c>
      <c r="E96" s="112" t="s">
        <v>40</v>
      </c>
      <c r="F96" s="35">
        <f>$E$30</f>
        <v>106.6131818</v>
      </c>
      <c r="G96" s="62">
        <f>$G95</f>
        <v>411.8181818</v>
      </c>
      <c r="H96" s="62">
        <f>$H95-$F96+$F$31</f>
        <v>-1365.992727</v>
      </c>
    </row>
    <row r="97" ht="15.75" customHeight="1">
      <c r="D97" s="21">
        <v>60.0</v>
      </c>
      <c r="E97" s="113" t="s">
        <v>7</v>
      </c>
      <c r="F97" s="62">
        <f>$F$30</f>
        <v>1.272727273</v>
      </c>
      <c r="G97" s="62">
        <f>$G96-$F97+$E$31</f>
        <v>410.5454545</v>
      </c>
      <c r="H97" s="62">
        <f>$H96</f>
        <v>-1365.992727</v>
      </c>
    </row>
    <row r="98" ht="15.75" customHeight="1">
      <c r="D98" s="21">
        <v>61.0</v>
      </c>
      <c r="E98" s="112" t="s">
        <v>40</v>
      </c>
      <c r="F98" s="35">
        <f>$E$30</f>
        <v>106.6131818</v>
      </c>
      <c r="G98" s="62">
        <f>$G97</f>
        <v>410.5454545</v>
      </c>
      <c r="H98" s="62">
        <f>$H97-$F97+$F$31</f>
        <v>-1367.010909</v>
      </c>
    </row>
    <row r="99" ht="15.75" customHeight="1">
      <c r="D99" s="21">
        <v>62.0</v>
      </c>
      <c r="E99" s="113" t="s">
        <v>7</v>
      </c>
      <c r="F99" s="62">
        <f>$F$30</f>
        <v>1.272727273</v>
      </c>
      <c r="G99" s="62">
        <f>$G98-$F99+$E$31</f>
        <v>409.2727273</v>
      </c>
      <c r="H99" s="62">
        <f>$H98</f>
        <v>-1367.010909</v>
      </c>
    </row>
    <row r="100" ht="15.75" customHeight="1">
      <c r="D100" s="21">
        <v>63.0</v>
      </c>
      <c r="E100" s="112" t="s">
        <v>40</v>
      </c>
      <c r="F100" s="35">
        <f>$E$30</f>
        <v>106.6131818</v>
      </c>
      <c r="G100" s="62">
        <f>$G99</f>
        <v>409.2727273</v>
      </c>
      <c r="H100" s="62">
        <f>$H99-$F100+$F$31</f>
        <v>-1473.369545</v>
      </c>
    </row>
    <row r="101" ht="15.75" customHeight="1">
      <c r="D101" s="21">
        <v>64.0</v>
      </c>
      <c r="E101" s="113" t="s">
        <v>7</v>
      </c>
      <c r="F101" s="62">
        <f>$F$30</f>
        <v>1.272727273</v>
      </c>
      <c r="G101" s="62">
        <f>$G100-$F101+$E$31</f>
        <v>408</v>
      </c>
      <c r="H101" s="62">
        <f>$H100</f>
        <v>-1473.369545</v>
      </c>
    </row>
    <row r="102" ht="15.75" customHeight="1">
      <c r="D102" s="21">
        <v>65.0</v>
      </c>
      <c r="E102" s="112" t="s">
        <v>40</v>
      </c>
      <c r="F102" s="35">
        <f>$E$30</f>
        <v>106.6131818</v>
      </c>
      <c r="G102" s="62">
        <f>$G101</f>
        <v>408</v>
      </c>
      <c r="H102" s="62">
        <f>$H101-$F101+$F$31</f>
        <v>-1474.387727</v>
      </c>
    </row>
    <row r="103" ht="15.75" customHeight="1">
      <c r="D103" s="21">
        <v>66.0</v>
      </c>
      <c r="E103" s="113" t="s">
        <v>7</v>
      </c>
      <c r="F103" s="62">
        <f>$F$30</f>
        <v>1.272727273</v>
      </c>
      <c r="G103" s="62">
        <f>$G102-$F103+$E$31</f>
        <v>406.7272727</v>
      </c>
      <c r="H103" s="62">
        <f>$H102</f>
        <v>-1474.387727</v>
      </c>
    </row>
    <row r="104" ht="15.75" customHeight="1">
      <c r="D104" s="21">
        <v>67.0</v>
      </c>
      <c r="E104" s="112" t="s">
        <v>40</v>
      </c>
      <c r="F104" s="35">
        <f>$E$30</f>
        <v>106.6131818</v>
      </c>
      <c r="G104" s="62">
        <f>$G103</f>
        <v>406.7272727</v>
      </c>
      <c r="H104" s="62">
        <f>$H103-$F104+$F$31</f>
        <v>-1580.746364</v>
      </c>
    </row>
    <row r="105" ht="15.75" customHeight="1">
      <c r="D105" s="21">
        <v>68.0</v>
      </c>
      <c r="E105" s="113" t="s">
        <v>7</v>
      </c>
      <c r="F105" s="62">
        <f>$F$30</f>
        <v>1.272727273</v>
      </c>
      <c r="G105" s="62">
        <f>$G104-$F105+$E$31</f>
        <v>405.4545455</v>
      </c>
      <c r="H105" s="62">
        <f>$H104</f>
        <v>-1580.746364</v>
      </c>
    </row>
    <row r="106" ht="15.75" customHeight="1">
      <c r="D106" s="21">
        <v>69.0</v>
      </c>
      <c r="E106" s="112" t="s">
        <v>40</v>
      </c>
      <c r="F106" s="35">
        <f>$E$30</f>
        <v>106.6131818</v>
      </c>
      <c r="G106" s="62">
        <f>$G105</f>
        <v>405.4545455</v>
      </c>
      <c r="H106" s="62">
        <f>$H105-$F105+$F$31</f>
        <v>-1581.764545</v>
      </c>
    </row>
    <row r="107" ht="15.75" customHeight="1">
      <c r="D107" s="21">
        <v>70.0</v>
      </c>
      <c r="E107" s="113" t="s">
        <v>7</v>
      </c>
      <c r="F107" s="62">
        <f>$F$30</f>
        <v>1.272727273</v>
      </c>
      <c r="G107" s="62">
        <f>$G106-$F107+$E$31</f>
        <v>404.1818182</v>
      </c>
      <c r="H107" s="62">
        <f>$H106</f>
        <v>-1581.764545</v>
      </c>
    </row>
    <row r="108" ht="15.75" customHeight="1">
      <c r="D108" s="21">
        <v>71.0</v>
      </c>
      <c r="E108" s="112" t="s">
        <v>40</v>
      </c>
      <c r="F108" s="35">
        <f>$E$30</f>
        <v>106.6131818</v>
      </c>
      <c r="G108" s="62">
        <f>$G107</f>
        <v>404.1818182</v>
      </c>
      <c r="H108" s="62">
        <f>$H107-$F108+$F$31</f>
        <v>-1688.123182</v>
      </c>
    </row>
    <row r="109" ht="15.75" customHeight="1">
      <c r="D109" s="21">
        <v>72.0</v>
      </c>
      <c r="E109" s="113" t="s">
        <v>7</v>
      </c>
      <c r="F109" s="62">
        <f>$F$30</f>
        <v>1.272727273</v>
      </c>
      <c r="G109" s="62">
        <f>$G108-$F109+$E$31</f>
        <v>402.9090909</v>
      </c>
      <c r="H109" s="62">
        <f>$H108</f>
        <v>-1688.123182</v>
      </c>
    </row>
    <row r="110" ht="15.75" customHeight="1">
      <c r="D110" s="21">
        <v>73.0</v>
      </c>
      <c r="E110" s="112" t="s">
        <v>40</v>
      </c>
      <c r="F110" s="35">
        <f>$E$30</f>
        <v>106.6131818</v>
      </c>
      <c r="G110" s="62">
        <f>$G109</f>
        <v>402.9090909</v>
      </c>
      <c r="H110" s="62">
        <f>$H109-$F109+$F$31</f>
        <v>-1689.141364</v>
      </c>
    </row>
    <row r="111" ht="15.75" customHeight="1">
      <c r="D111" s="21">
        <v>74.0</v>
      </c>
      <c r="E111" s="113" t="s">
        <v>7</v>
      </c>
      <c r="F111" s="62">
        <f>$F$30</f>
        <v>1.272727273</v>
      </c>
      <c r="G111" s="62">
        <f>$G110-$F111+$E$31</f>
        <v>401.6363636</v>
      </c>
      <c r="H111" s="62">
        <f>$H110</f>
        <v>-1689.141364</v>
      </c>
    </row>
    <row r="112" ht="15.75" customHeight="1">
      <c r="D112" s="21">
        <v>75.0</v>
      </c>
      <c r="E112" s="112" t="s">
        <v>40</v>
      </c>
      <c r="F112" s="35">
        <f>$E$30</f>
        <v>106.6131818</v>
      </c>
      <c r="G112" s="62">
        <f>$G111</f>
        <v>401.6363636</v>
      </c>
      <c r="H112" s="62">
        <f>$H111-$F112+$F$31</f>
        <v>-1795.5</v>
      </c>
    </row>
    <row r="113" ht="15.75" customHeight="1">
      <c r="D113" s="21">
        <v>76.0</v>
      </c>
      <c r="E113" s="113" t="s">
        <v>7</v>
      </c>
      <c r="F113" s="62">
        <f>$F$30</f>
        <v>1.272727273</v>
      </c>
      <c r="G113" s="62">
        <f>$G112-$F113+$E$31</f>
        <v>400.3636364</v>
      </c>
      <c r="H113" s="62">
        <f>$H112</f>
        <v>-1795.5</v>
      </c>
    </row>
    <row r="114" ht="15.75" customHeight="1">
      <c r="D114" s="21">
        <v>77.0</v>
      </c>
      <c r="E114" s="112" t="s">
        <v>40</v>
      </c>
      <c r="F114" s="35">
        <f>$E$30</f>
        <v>106.6131818</v>
      </c>
      <c r="G114" s="62">
        <f>$G113</f>
        <v>400.3636364</v>
      </c>
      <c r="H114" s="62">
        <f>$H113-$F113+$F$31</f>
        <v>-1796.518182</v>
      </c>
    </row>
    <row r="115" ht="15.75" customHeight="1">
      <c r="D115" s="21">
        <v>78.0</v>
      </c>
      <c r="E115" s="113" t="s">
        <v>7</v>
      </c>
      <c r="F115" s="62">
        <f>$F$30</f>
        <v>1.272727273</v>
      </c>
      <c r="G115" s="62">
        <f>$G114-$F115+$E$31</f>
        <v>399.0909091</v>
      </c>
      <c r="H115" s="62">
        <f>$H114</f>
        <v>-1796.518182</v>
      </c>
    </row>
    <row r="116" ht="15.75" customHeight="1">
      <c r="D116" s="21">
        <v>79.0</v>
      </c>
      <c r="E116" s="112" t="s">
        <v>40</v>
      </c>
      <c r="F116" s="35">
        <f>$E$30</f>
        <v>106.6131818</v>
      </c>
      <c r="G116" s="62">
        <f>$G115</f>
        <v>399.0909091</v>
      </c>
      <c r="H116" s="62">
        <f>$H115-$F116+$F$31</f>
        <v>-1902.876818</v>
      </c>
    </row>
    <row r="117" ht="15.75" customHeight="1">
      <c r="D117" s="21">
        <v>80.0</v>
      </c>
      <c r="E117" s="113" t="s">
        <v>7</v>
      </c>
      <c r="F117" s="62">
        <f>$F$30</f>
        <v>1.272727273</v>
      </c>
      <c r="G117" s="62">
        <f>$G116-$F117+$E$31</f>
        <v>397.8181818</v>
      </c>
      <c r="H117" s="62">
        <f>$H116</f>
        <v>-1902.876818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D9"/>
    <mergeCell ref="C13:C23"/>
    <mergeCell ref="V22:W22"/>
    <mergeCell ref="T24:T34"/>
    <mergeCell ref="K26:L26"/>
    <mergeCell ref="M26:N26"/>
    <mergeCell ref="H28:M28"/>
    <mergeCell ref="D35:H36"/>
    <mergeCell ref="E2:H2"/>
    <mergeCell ref="E4:E6"/>
    <mergeCell ref="G4:G6"/>
    <mergeCell ref="E8:F8"/>
    <mergeCell ref="G8:H8"/>
    <mergeCell ref="E11:F11"/>
    <mergeCell ref="G11:H11"/>
  </mergeCells>
  <conditionalFormatting sqref="G38:H117">
    <cfRule type="cellIs" dxfId="0" priority="1" operator="lessThanOrEqual">
      <formula>0</formula>
    </cfRule>
  </conditionalFormatting>
  <conditionalFormatting sqref="G38:H117">
    <cfRule type="colorScale" priority="2">
      <colorScale>
        <cfvo type="formula" val="50"/>
        <cfvo type="formula" val="200"/>
        <color rgb="FFF15E41"/>
        <color rgb="FF3A7D22"/>
      </colorScale>
    </cfRule>
  </conditionalFormatting>
  <dataValidations>
    <dataValidation type="list" allowBlank="1" showErrorMessage="1" sqref="F4:F6 H4:H6">
      <formula1>Lists!$D$4:$D$40</formula1>
    </dataValidation>
    <dataValidation type="list" allowBlank="1" showErrorMessage="1" sqref="J8:K8 M8">
      <formula1>Lists!$B$4:$B$14</formula1>
    </dataValidation>
    <dataValidation type="list" allowBlank="1" showErrorMessage="1" sqref="L8:L10 N8:N10">
      <formula1>Lists!$D$4:$D$39</formula1>
    </dataValidation>
    <dataValidation type="list" allowBlank="1" showErrorMessage="1" sqref="E4 G4">
      <formula1>Lists!$B$4:$B$15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1.75"/>
    <col customWidth="1" min="7" max="26" width="8.63"/>
  </cols>
  <sheetData>
    <row r="3">
      <c r="B3" s="58" t="s">
        <v>3</v>
      </c>
      <c r="C3" s="71" t="s">
        <v>61</v>
      </c>
      <c r="D3" s="58" t="s">
        <v>5</v>
      </c>
    </row>
    <row r="4">
      <c r="B4" s="72" t="str">
        <f>Champions!$B3</f>
        <v>Jayce</v>
      </c>
      <c r="C4" s="73" t="s">
        <v>40</v>
      </c>
      <c r="D4" s="74" t="str">
        <f>Items!$B3</f>
        <v>Spear of Shojin</v>
      </c>
    </row>
    <row r="5">
      <c r="B5" s="75" t="str">
        <f>Champions!$B4</f>
        <v>Janna</v>
      </c>
      <c r="C5" s="76" t="s">
        <v>7</v>
      </c>
      <c r="D5" s="77" t="str">
        <f>Items!$B4</f>
        <v>Kraken's Fury</v>
      </c>
    </row>
    <row r="6">
      <c r="B6" s="75" t="str">
        <f>Champions!$B5</f>
        <v>Dr.Mundo</v>
      </c>
      <c r="C6" s="78"/>
      <c r="D6" s="79" t="str">
        <f>Items!$B5</f>
        <v>Infinity Edge</v>
      </c>
    </row>
    <row r="7">
      <c r="B7" s="75" t="str">
        <f>Champions!$B6</f>
        <v>Azir</v>
      </c>
      <c r="C7" s="59"/>
      <c r="D7" s="79" t="str">
        <f>Items!$B6</f>
        <v>Giant Slayer</v>
      </c>
    </row>
    <row r="8">
      <c r="B8" s="75" t="str">
        <f>Champions!$B7</f>
        <v>Poppy</v>
      </c>
      <c r="C8" s="59"/>
      <c r="D8" s="79" t="str">
        <f>Items!$B7</f>
        <v>Edge of Night</v>
      </c>
    </row>
    <row r="9">
      <c r="B9" s="75" t="str">
        <f>Champions!$B8</f>
        <v>Draven</v>
      </c>
      <c r="C9" s="59"/>
      <c r="D9" s="79" t="str">
        <f>Items!$B8</f>
        <v>Deathblade</v>
      </c>
    </row>
    <row r="10">
      <c r="B10" s="75" t="str">
        <f>Champions!$B9</f>
        <v>Katarina</v>
      </c>
      <c r="C10" s="59"/>
      <c r="D10" s="79" t="str">
        <f>Items!$B9</f>
        <v>Bloodthirster</v>
      </c>
    </row>
    <row r="11">
      <c r="B11" s="75" t="str">
        <f>Champions!$B10</f>
        <v>Kog'Maw</v>
      </c>
      <c r="C11" s="59"/>
      <c r="D11" s="79" t="str">
        <f>Items!$B10</f>
        <v>Morellonomicon</v>
      </c>
    </row>
    <row r="12">
      <c r="B12" s="75" t="str">
        <f>Champions!$B11</f>
        <v>Seraphine</v>
      </c>
      <c r="C12" s="59"/>
      <c r="D12" s="81" t="str">
        <f>Items!$B11</f>
        <v>Void Staff</v>
      </c>
    </row>
    <row r="13">
      <c r="B13" s="75" t="str">
        <f>Champions!$B12</f>
        <v>Renekton</v>
      </c>
      <c r="C13" s="59"/>
      <c r="D13" s="81" t="str">
        <f>Items!$B12</f>
        <v>Blue Buff</v>
      </c>
    </row>
    <row r="14">
      <c r="B14" s="82" t="str">
        <f>Champions!$B13</f>
        <v>Rakan</v>
      </c>
      <c r="C14" s="59"/>
      <c r="D14" s="81" t="str">
        <f>Items!$B13</f>
        <v>Jewled Gauntlet</v>
      </c>
    </row>
    <row r="15">
      <c r="B15" s="78"/>
      <c r="C15" s="59"/>
      <c r="D15" s="81" t="str">
        <f>Items!$B14</f>
        <v>Rabadon's Deathcap</v>
      </c>
    </row>
    <row r="16">
      <c r="B16" s="59"/>
      <c r="C16" s="59"/>
      <c r="D16" s="81" t="str">
        <f>Items!$B15</f>
        <v>Hand of Justice</v>
      </c>
    </row>
    <row r="17">
      <c r="B17" s="59"/>
      <c r="C17" s="59"/>
      <c r="D17" s="81" t="str">
        <f>Items!$B16</f>
        <v>Arcangel's Staff</v>
      </c>
    </row>
    <row r="18">
      <c r="B18" s="59"/>
      <c r="C18" s="59"/>
      <c r="D18" s="81" t="str">
        <f>Items!$B17</f>
        <v>Hextech Gunblade</v>
      </c>
    </row>
    <row r="19">
      <c r="B19" s="59"/>
      <c r="C19" s="59"/>
      <c r="D19" s="83" t="str">
        <f>Items!$B18</f>
        <v>Striker's Flail</v>
      </c>
    </row>
    <row r="20">
      <c r="B20" s="59"/>
      <c r="C20" s="59"/>
      <c r="D20" s="83" t="str">
        <f>Items!$B19</f>
        <v>Red Buff</v>
      </c>
    </row>
    <row r="21" ht="15.75" customHeight="1">
      <c r="B21" s="59"/>
      <c r="C21" s="59"/>
      <c r="D21" s="83" t="str">
        <f>Items!$B20</f>
        <v>Nashor's Tooth</v>
      </c>
    </row>
    <row r="22" ht="15.75" customHeight="1">
      <c r="B22" s="59"/>
      <c r="C22" s="59"/>
      <c r="D22" s="83" t="str">
        <f>Items!$B21</f>
        <v>Guinsoo's Rageblade</v>
      </c>
    </row>
    <row r="23" ht="15.75" customHeight="1">
      <c r="B23" s="59"/>
      <c r="C23" s="59"/>
      <c r="D23" s="83" t="str">
        <f>Items!$B22</f>
        <v>Last Whisper</v>
      </c>
    </row>
    <row r="24" ht="15.75" customHeight="1">
      <c r="B24" s="59"/>
      <c r="C24" s="59"/>
      <c r="D24" s="83" t="str">
        <f>Items!$B23</f>
        <v>Quicksilver</v>
      </c>
    </row>
    <row r="25" ht="15.75" customHeight="1">
      <c r="B25" s="59"/>
      <c r="C25" s="59"/>
      <c r="D25" s="85" t="str">
        <f>Items!$B24</f>
        <v>Thief's Gloves</v>
      </c>
    </row>
    <row r="26" ht="15.75" customHeight="1">
      <c r="B26" s="59"/>
      <c r="C26" s="59"/>
      <c r="D26" s="85" t="str">
        <f>Items!$B25</f>
        <v>Sterak's Gage</v>
      </c>
    </row>
    <row r="27" ht="15.75" customHeight="1">
      <c r="B27" s="59"/>
      <c r="C27" s="59"/>
      <c r="D27" s="85" t="str">
        <f>Items!$B26</f>
        <v>Protector's Vow</v>
      </c>
    </row>
    <row r="28" ht="15.75" customHeight="1">
      <c r="B28" s="59"/>
      <c r="C28" s="59"/>
      <c r="D28" s="85" t="str">
        <f>Items!$B27</f>
        <v>Gargoyle Stoneplate</v>
      </c>
    </row>
    <row r="29" ht="15.75" customHeight="1">
      <c r="B29" s="59"/>
      <c r="C29" s="59"/>
      <c r="D29" s="85" t="str">
        <f>Items!$B28</f>
        <v>Evenshroud</v>
      </c>
    </row>
    <row r="30" ht="15.75" customHeight="1">
      <c r="B30" s="59"/>
      <c r="C30" s="59"/>
      <c r="D30" s="85" t="str">
        <f>Items!$B29</f>
        <v>Steadfast Heart</v>
      </c>
    </row>
    <row r="31" ht="15.75" customHeight="1">
      <c r="B31" s="59"/>
      <c r="C31" s="59"/>
      <c r="D31" s="85" t="str">
        <f>Items!$B30</f>
        <v>Sunfire Cape</v>
      </c>
    </row>
    <row r="32" ht="15.75" customHeight="1">
      <c r="B32" s="59"/>
      <c r="C32" s="59"/>
      <c r="D32" s="85" t="str">
        <f>Items!$B31</f>
        <v>Warmog's Armor</v>
      </c>
    </row>
    <row r="33" ht="15.75" customHeight="1">
      <c r="B33" s="59"/>
      <c r="C33" s="59"/>
      <c r="D33" s="85" t="str">
        <f>Items!$B32</f>
        <v>Spirit Visage</v>
      </c>
    </row>
    <row r="34" ht="15.75" customHeight="1">
      <c r="B34" s="59"/>
      <c r="C34" s="59"/>
      <c r="D34" s="85" t="str">
        <f>Items!$B33</f>
        <v>Bramble Vest</v>
      </c>
    </row>
    <row r="35" ht="15.75" customHeight="1">
      <c r="B35" s="59"/>
      <c r="C35" s="59"/>
      <c r="D35" s="85" t="str">
        <f>Items!$B34</f>
        <v>Adaptive Helm</v>
      </c>
    </row>
    <row r="36" ht="15.75" customHeight="1">
      <c r="B36" s="59"/>
      <c r="C36" s="59"/>
      <c r="D36" s="85" t="str">
        <f>Items!$B35</f>
        <v>Crownguard</v>
      </c>
    </row>
    <row r="37" ht="15.75" customHeight="1">
      <c r="B37" s="59"/>
      <c r="C37" s="59"/>
      <c r="D37" s="85" t="str">
        <f>Items!$B36</f>
        <v>Ionic Spark</v>
      </c>
    </row>
    <row r="38" ht="15.75" customHeight="1">
      <c r="B38" s="59"/>
      <c r="C38" s="59"/>
      <c r="D38" s="85" t="str">
        <f>Items!$B37</f>
        <v>Dragon's Claw</v>
      </c>
    </row>
    <row r="39" ht="15.75" customHeight="1">
      <c r="B39" s="87"/>
      <c r="C39" s="87"/>
      <c r="D39" s="88" t="str">
        <f>Items!$B38</f>
        <v>Titan's Resolve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6:C39"/>
    <mergeCell ref="B15:B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2025-11-18T14:52:54Z</dcterms:created>
  <dc:creator>hugo lacaci</dc:creator>
</cp:coreProperties>
</file>