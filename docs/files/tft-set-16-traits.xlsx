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317341e3f10bfb/Uni Hugo/Cuarto Año/Portfolio TFT/HugoLacaci_Information_and_Portfolio/Set 16 Concept Design/"/>
    </mc:Choice>
  </mc:AlternateContent>
  <xr:revisionPtr revIDLastSave="512" documentId="8_{6DBD17F7-B69E-4D1E-9BD2-33B53746F955}" xr6:coauthVersionLast="47" xr6:coauthVersionMax="47" xr10:uidLastSave="{2C3B4778-7875-4B41-87C6-F5B94A55A6DA}"/>
  <bookViews>
    <workbookView xWindow="-120" yWindow="-120" windowWidth="38640" windowHeight="21120" activeTab="1" xr2:uid="{FBC2A761-AFAF-4055-AF34-41CE75B6601C}"/>
  </bookViews>
  <sheets>
    <sheet name="Sheet2" sheetId="2" r:id="rId1"/>
    <sheet name="Sheet3" sheetId="3" r:id="rId2"/>
    <sheet name="Lis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AB15" i="3"/>
  <c r="U16" i="3"/>
  <c r="R17" i="3"/>
  <c r="U18" i="3"/>
  <c r="W19" i="3"/>
  <c r="D88" i="3"/>
  <c r="U26" i="3"/>
  <c r="AA40" i="3"/>
  <c r="W51" i="3"/>
  <c r="V24" i="3"/>
  <c r="E92" i="3"/>
  <c r="F92" i="3"/>
  <c r="U23" i="3"/>
  <c r="Y65" i="3"/>
  <c r="AA66" i="3"/>
  <c r="Z69" i="3"/>
  <c r="U68" i="3"/>
  <c r="Q67" i="3"/>
  <c r="R61" i="3"/>
  <c r="Z60" i="3"/>
  <c r="AC64" i="3"/>
  <c r="Q63" i="3"/>
  <c r="AC62" i="3"/>
  <c r="Y58" i="3"/>
  <c r="V58" i="3"/>
  <c r="S57" i="3"/>
  <c r="AA59" i="3"/>
  <c r="Q56" i="3"/>
  <c r="R55" i="3"/>
  <c r="Q48" i="3"/>
  <c r="R50" i="3"/>
  <c r="AA50" i="3"/>
  <c r="Z49" i="3"/>
  <c r="W47" i="3"/>
  <c r="V43" i="3"/>
  <c r="Z45" i="3"/>
  <c r="S44" i="3"/>
  <c r="T46" i="3"/>
  <c r="S46" i="3"/>
  <c r="AB42" i="3"/>
  <c r="Z42" i="3"/>
  <c r="V41" i="3"/>
  <c r="Y38" i="3"/>
  <c r="Z37" i="3"/>
  <c r="AE39" i="3"/>
  <c r="W36" i="3"/>
  <c r="Q36" i="3"/>
  <c r="R34" i="3"/>
  <c r="S31" i="3"/>
  <c r="X35" i="3"/>
  <c r="V33" i="3"/>
  <c r="U32" i="3"/>
  <c r="X30" i="3"/>
  <c r="Q29" i="3"/>
  <c r="Y25" i="3"/>
  <c r="AC28" i="3"/>
  <c r="AA27" i="3"/>
  <c r="T27" i="3"/>
  <c r="W22" i="3"/>
  <c r="W21" i="3"/>
  <c r="T20" i="3"/>
  <c r="R11" i="3"/>
  <c r="X14" i="3"/>
  <c r="Q10" i="3"/>
  <c r="AC13" i="3"/>
  <c r="T12" i="3"/>
  <c r="O76" i="3"/>
  <c r="Q9" i="3"/>
  <c r="AD9" i="3"/>
  <c r="X8" i="3"/>
  <c r="V8" i="3"/>
  <c r="AB7" i="3"/>
  <c r="Y6" i="3"/>
  <c r="S5" i="3"/>
  <c r="E74" i="3"/>
  <c r="F74" i="3"/>
  <c r="G74" i="3"/>
  <c r="H74" i="3"/>
  <c r="I74" i="3"/>
  <c r="J74" i="3"/>
  <c r="K74" i="3"/>
  <c r="L74" i="3"/>
  <c r="M74" i="3"/>
  <c r="N74" i="3"/>
  <c r="O74" i="3"/>
  <c r="E75" i="3"/>
  <c r="F75" i="3"/>
  <c r="G75" i="3"/>
  <c r="H75" i="3"/>
  <c r="I75" i="3"/>
  <c r="J75" i="3"/>
  <c r="K75" i="3"/>
  <c r="L75" i="3"/>
  <c r="M75" i="3"/>
  <c r="N75" i="3"/>
  <c r="O75" i="3"/>
  <c r="E76" i="3"/>
  <c r="F76" i="3"/>
  <c r="G76" i="3"/>
  <c r="H76" i="3"/>
  <c r="I76" i="3"/>
  <c r="J76" i="3"/>
  <c r="K76" i="3"/>
  <c r="L76" i="3"/>
  <c r="M76" i="3"/>
  <c r="N76" i="3"/>
  <c r="E77" i="3"/>
  <c r="F77" i="3"/>
  <c r="G77" i="3"/>
  <c r="H77" i="3"/>
  <c r="I77" i="3"/>
  <c r="J77" i="3"/>
  <c r="K77" i="3"/>
  <c r="L77" i="3"/>
  <c r="M77" i="3"/>
  <c r="N77" i="3"/>
  <c r="O77" i="3"/>
  <c r="E78" i="3"/>
  <c r="F78" i="3"/>
  <c r="G78" i="3"/>
  <c r="H78" i="3"/>
  <c r="I78" i="3"/>
  <c r="J78" i="3"/>
  <c r="K78" i="3"/>
  <c r="L78" i="3"/>
  <c r="M78" i="3"/>
  <c r="N78" i="3"/>
  <c r="O78" i="3"/>
  <c r="D78" i="3"/>
  <c r="D77" i="3"/>
  <c r="D75" i="3"/>
  <c r="D76" i="3"/>
  <c r="D74" i="3"/>
  <c r="D90" i="3"/>
  <c r="D89" i="3"/>
  <c r="D87" i="3"/>
  <c r="D86" i="3"/>
  <c r="D92" i="3" l="1"/>
  <c r="AD78" i="3"/>
  <c r="AD76" i="3"/>
  <c r="AD75" i="3"/>
  <c r="AD77" i="3"/>
  <c r="AD74" i="3"/>
  <c r="S78" i="3"/>
  <c r="S77" i="3"/>
  <c r="S74" i="3"/>
  <c r="S75" i="3"/>
  <c r="S76" i="3"/>
  <c r="AF78" i="3"/>
  <c r="AF76" i="3"/>
  <c r="AF74" i="3"/>
  <c r="AF75" i="3"/>
  <c r="AF77" i="3"/>
  <c r="AC78" i="3"/>
  <c r="AC74" i="3"/>
  <c r="AC77" i="3"/>
  <c r="AC75" i="3"/>
  <c r="AC76" i="3"/>
  <c r="Z78" i="3"/>
  <c r="Z74" i="3"/>
  <c r="Z76" i="3"/>
  <c r="Z77" i="3"/>
  <c r="Z75" i="3"/>
  <c r="AB74" i="3"/>
  <c r="AB77" i="3"/>
  <c r="AB76" i="3"/>
  <c r="AB78" i="3"/>
  <c r="AB75" i="3"/>
  <c r="AA76" i="3"/>
  <c r="AA77" i="3"/>
  <c r="AA75" i="3"/>
  <c r="AA78" i="3"/>
  <c r="AA74" i="3"/>
  <c r="U75" i="3"/>
  <c r="U76" i="3"/>
  <c r="U74" i="3"/>
  <c r="U77" i="3"/>
  <c r="U78" i="3"/>
  <c r="V78" i="3"/>
  <c r="V76" i="3"/>
  <c r="V77" i="3"/>
  <c r="V75" i="3"/>
  <c r="V74" i="3"/>
  <c r="T76" i="3"/>
  <c r="T75" i="3"/>
  <c r="T74" i="3"/>
  <c r="T77" i="3"/>
  <c r="T78" i="3"/>
  <c r="X75" i="3"/>
  <c r="X78" i="3"/>
  <c r="X77" i="3"/>
  <c r="X76" i="3"/>
  <c r="X74" i="3"/>
  <c r="Y76" i="3"/>
  <c r="Y75" i="3"/>
  <c r="Y78" i="3"/>
  <c r="Y74" i="3"/>
  <c r="Y77" i="3"/>
  <c r="R74" i="3"/>
  <c r="R76" i="3"/>
  <c r="R75" i="3"/>
  <c r="R78" i="3"/>
  <c r="R77" i="3"/>
  <c r="W76" i="3"/>
  <c r="W75" i="3"/>
  <c r="W78" i="3"/>
  <c r="W74" i="3"/>
  <c r="W77" i="3"/>
  <c r="AE75" i="3"/>
  <c r="AE76" i="3"/>
  <c r="AE77" i="3"/>
  <c r="AE74" i="3"/>
  <c r="AE78" i="3"/>
  <c r="Q78" i="3"/>
  <c r="Q77" i="3"/>
  <c r="Q75" i="3"/>
  <c r="Q76" i="3"/>
  <c r="Q7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<sst xmlns="http://schemas.openxmlformats.org/spreadsheetml/2006/main" count="452" uniqueCount="129">
  <si>
    <t>Office Party</t>
  </si>
  <si>
    <t>Snowbound</t>
  </si>
  <si>
    <t>Twin Hearts</t>
  </si>
  <si>
    <t>Surprise Party</t>
  </si>
  <si>
    <t>La Ilusión</t>
  </si>
  <si>
    <t>Culinary Chaos</t>
  </si>
  <si>
    <t>Carnavalia</t>
  </si>
  <si>
    <t>Hot Springs</t>
  </si>
  <si>
    <t>Seasonal Shift</t>
  </si>
  <si>
    <t>Bruiser</t>
  </si>
  <si>
    <t>Bastion</t>
  </si>
  <si>
    <t>Shapeshifter</t>
  </si>
  <si>
    <t>Duelist</t>
  </si>
  <si>
    <t>Invoker</t>
  </si>
  <si>
    <t>Performer</t>
  </si>
  <si>
    <t>Executioner</t>
  </si>
  <si>
    <t>Caretaker</t>
  </si>
  <si>
    <t>Assassin</t>
  </si>
  <si>
    <t>Traits</t>
  </si>
  <si>
    <t>Mundo</t>
  </si>
  <si>
    <t>Jayce</t>
  </si>
  <si>
    <t>Janna</t>
  </si>
  <si>
    <t>Ezreal</t>
  </si>
  <si>
    <t>Azir</t>
  </si>
  <si>
    <t>Maokai</t>
  </si>
  <si>
    <t>Draven</t>
  </si>
  <si>
    <t>Braum</t>
  </si>
  <si>
    <t>Kog'Maw</t>
  </si>
  <si>
    <t>Gragas</t>
  </si>
  <si>
    <t>Katarina</t>
  </si>
  <si>
    <t>Poppy</t>
  </si>
  <si>
    <t>Master Yi</t>
  </si>
  <si>
    <t>Xayah</t>
  </si>
  <si>
    <t>Rakan</t>
  </si>
  <si>
    <t>Lucian</t>
  </si>
  <si>
    <t>Senna</t>
  </si>
  <si>
    <t>Seraphine</t>
  </si>
  <si>
    <t>Yone</t>
  </si>
  <si>
    <t>Ashe</t>
  </si>
  <si>
    <t>Renekton</t>
  </si>
  <si>
    <t>Caitlyn</t>
  </si>
  <si>
    <t>Lulu</t>
  </si>
  <si>
    <t>Reksai</t>
  </si>
  <si>
    <t>Oriana</t>
  </si>
  <si>
    <t>Ocean Song</t>
  </si>
  <si>
    <t>Ekko</t>
  </si>
  <si>
    <t>Nocturne</t>
  </si>
  <si>
    <t>Veigar</t>
  </si>
  <si>
    <t>Elise</t>
  </si>
  <si>
    <t>Blitzcrank</t>
  </si>
  <si>
    <t>Annie</t>
  </si>
  <si>
    <t>Fiddle</t>
  </si>
  <si>
    <t>Rengar</t>
  </si>
  <si>
    <t>Soraka</t>
  </si>
  <si>
    <t>Riven</t>
  </si>
  <si>
    <t>Teemo</t>
  </si>
  <si>
    <t>Fizz</t>
  </si>
  <si>
    <t>Gnar</t>
  </si>
  <si>
    <t>Nidalee</t>
  </si>
  <si>
    <t>Qiyana</t>
  </si>
  <si>
    <t>Renata Glasc</t>
  </si>
  <si>
    <t>Ziggs</t>
  </si>
  <si>
    <t>Akali</t>
  </si>
  <si>
    <t>Pantheon</t>
  </si>
  <si>
    <t>Morgana</t>
  </si>
  <si>
    <t>Fighter</t>
  </si>
  <si>
    <t>Tham Kench</t>
  </si>
  <si>
    <t>Amumu</t>
  </si>
  <si>
    <t>Zac</t>
  </si>
  <si>
    <t>Nafiri</t>
  </si>
  <si>
    <t>Galio</t>
  </si>
  <si>
    <t>Alistar</t>
  </si>
  <si>
    <t>Ornn</t>
  </si>
  <si>
    <t>Neeko</t>
  </si>
  <si>
    <t>Nunu &amp; Willump</t>
  </si>
  <si>
    <t>Fireworks</t>
  </si>
  <si>
    <t>Tristana</t>
  </si>
  <si>
    <t>Sejuani</t>
  </si>
  <si>
    <t>Jinx</t>
  </si>
  <si>
    <t>Diana</t>
  </si>
  <si>
    <t>Xhin Zao</t>
  </si>
  <si>
    <t>Yunara</t>
  </si>
  <si>
    <t>Ahri</t>
  </si>
  <si>
    <t>Sett</t>
  </si>
  <si>
    <t>Sona</t>
  </si>
  <si>
    <t>Escape Artist</t>
  </si>
  <si>
    <t>Sniper</t>
  </si>
  <si>
    <t>CEO</t>
  </si>
  <si>
    <t>Milio</t>
  </si>
  <si>
    <t>Defender</t>
  </si>
  <si>
    <t>Tricksters</t>
  </si>
  <si>
    <t>Cottontail</t>
  </si>
  <si>
    <t>Origins</t>
  </si>
  <si>
    <t>Classes</t>
  </si>
  <si>
    <t>Party Crasher</t>
  </si>
  <si>
    <t>Total</t>
  </si>
  <si>
    <t>Extra Units</t>
  </si>
  <si>
    <t>NO</t>
  </si>
  <si>
    <t>tear</t>
  </si>
  <si>
    <t>rod</t>
  </si>
  <si>
    <t>vest</t>
  </si>
  <si>
    <t>cloak</t>
  </si>
  <si>
    <t>sword</t>
  </si>
  <si>
    <t>bow</t>
  </si>
  <si>
    <t>belt</t>
  </si>
  <si>
    <t xml:space="preserve">Volibear  </t>
  </si>
  <si>
    <t>Emblem</t>
  </si>
  <si>
    <t>Craftable</t>
  </si>
  <si>
    <t>1⭐</t>
  </si>
  <si>
    <t>2⭐</t>
  </si>
  <si>
    <t>3⭐</t>
  </si>
  <si>
    <t>4⭐</t>
  </si>
  <si>
    <t>5⭐</t>
  </si>
  <si>
    <t>x</t>
  </si>
  <si>
    <t>X</t>
  </si>
  <si>
    <t>Cost</t>
  </si>
  <si>
    <t>NºChamps</t>
  </si>
  <si>
    <t>Adjustment</t>
  </si>
  <si>
    <t>Final</t>
  </si>
  <si>
    <t>FINAL</t>
  </si>
  <si>
    <t>CHAMPION COST ADJUSTMENTS</t>
  </si>
  <si>
    <t>YES</t>
  </si>
  <si>
    <t>Component</t>
  </si>
  <si>
    <t>glove</t>
  </si>
  <si>
    <t>Spatula</t>
  </si>
  <si>
    <t>Pan</t>
  </si>
  <si>
    <t>Shaco</t>
  </si>
  <si>
    <t>Champions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</si>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</sst>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636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0" fontId="0" fillId="0" borderId="6" xfId="0" applyBorder="1"/>
    <xf numFmtId="0" fontId="0" fillId="0" borderId="1" xfId="0" applyBorder="1"/>
    <xf numFmtId="0" fontId="0" fillId="2" borderId="8" xfId="0" applyFill="1" applyBorder="1"/>
    <xf numFmtId="0" fontId="0" fillId="7" borderId="8" xfId="0" applyFill="1" applyBorder="1"/>
    <xf numFmtId="0" fontId="0" fillId="0" borderId="11" xfId="0" applyBorder="1"/>
    <xf numFmtId="0" fontId="0" fillId="2" borderId="6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7" borderId="6" xfId="0" applyFill="1" applyBorder="1"/>
    <xf numFmtId="0" fontId="0" fillId="0" borderId="0" xfId="0" applyAlignment="1">
      <alignment horizontal="center"/>
    </xf>
    <xf numFmtId="0" fontId="1" fillId="0" borderId="8" xfId="0" applyFont="1" applyBorder="1"/>
    <xf numFmtId="0" fontId="0" fillId="0" borderId="15" xfId="0" applyBorder="1" applyAlignment="1">
      <alignment horizontal="center"/>
    </xf>
    <xf numFmtId="0" fontId="0" fillId="8" borderId="7" xfId="0" applyFill="1" applyBorder="1"/>
    <xf numFmtId="0" fontId="0" fillId="8" borderId="8" xfId="0" applyFill="1" applyBorder="1"/>
    <xf numFmtId="0" fontId="2" fillId="5" borderId="8" xfId="0" applyFont="1" applyFill="1" applyBorder="1"/>
    <xf numFmtId="0" fontId="3" fillId="6" borderId="8" xfId="0" applyFont="1" applyFill="1" applyBorder="1"/>
    <xf numFmtId="0" fontId="3" fillId="6" borderId="6" xfId="0" applyFont="1" applyFill="1" applyBorder="1"/>
    <xf numFmtId="0" fontId="0" fillId="9" borderId="5" xfId="0" applyFill="1" applyBorder="1"/>
    <xf numFmtId="0" fontId="0" fillId="9" borderId="6" xfId="0" applyFill="1" applyBorder="1"/>
    <xf numFmtId="0" fontId="0" fillId="3" borderId="5" xfId="0" applyFill="1" applyBorder="1"/>
    <xf numFmtId="0" fontId="0" fillId="13" borderId="6" xfId="0" applyFill="1" applyBorder="1"/>
    <xf numFmtId="0" fontId="0" fillId="10" borderId="5" xfId="0" applyFill="1" applyBorder="1"/>
    <xf numFmtId="0" fontId="0" fillId="13" borderId="5" xfId="0" applyFill="1" applyBorder="1"/>
    <xf numFmtId="0" fontId="0" fillId="8" borderId="6" xfId="0" applyFill="1" applyBorder="1"/>
    <xf numFmtId="0" fontId="0" fillId="10" borderId="6" xfId="0" applyFill="1" applyBorder="1"/>
    <xf numFmtId="0" fontId="0" fillId="11" borderId="5" xfId="0" applyFill="1" applyBorder="1"/>
    <xf numFmtId="0" fontId="0" fillId="12" borderId="5" xfId="0" applyFill="1" applyBorder="1"/>
    <xf numFmtId="0" fontId="0" fillId="11" borderId="6" xfId="0" applyFill="1" applyBorder="1"/>
    <xf numFmtId="0" fontId="0" fillId="12" borderId="6" xfId="0" applyFill="1" applyBorder="1"/>
    <xf numFmtId="0" fontId="2" fillId="5" borderId="6" xfId="0" applyFont="1" applyFill="1" applyBorder="1"/>
    <xf numFmtId="0" fontId="0" fillId="14" borderId="1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7" borderId="1" xfId="0" applyFill="1" applyBorder="1"/>
    <xf numFmtId="0" fontId="0" fillId="15" borderId="1" xfId="0" applyFill="1" applyBorder="1"/>
    <xf numFmtId="0" fontId="0" fillId="16" borderId="1" xfId="0" applyFill="1" applyBorder="1" applyAlignment="1">
      <alignment horizontal="left"/>
    </xf>
    <xf numFmtId="0" fontId="0" fillId="3" borderId="10" xfId="0" applyFill="1" applyBorder="1"/>
    <xf numFmtId="0" fontId="0" fillId="5" borderId="1" xfId="0" applyFill="1" applyBorder="1"/>
    <xf numFmtId="0" fontId="0" fillId="15" borderId="13" xfId="0" applyFill="1" applyBorder="1"/>
    <xf numFmtId="0" fontId="0" fillId="16" borderId="13" xfId="0" applyFill="1" applyBorder="1" applyAlignment="1">
      <alignment horizontal="left"/>
    </xf>
    <xf numFmtId="0" fontId="0" fillId="17" borderId="13" xfId="0" applyFill="1" applyBorder="1"/>
    <xf numFmtId="0" fontId="0" fillId="5" borderId="13" xfId="0" applyFill="1" applyBorder="1"/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17" borderId="8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15" borderId="5" xfId="0" applyFill="1" applyBorder="1" applyAlignment="1">
      <alignment horizontal="center"/>
    </xf>
    <xf numFmtId="0" fontId="1" fillId="0" borderId="6" xfId="0" applyFont="1" applyBorder="1"/>
    <xf numFmtId="0" fontId="0" fillId="5" borderId="1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8" xfId="0" applyFont="1" applyBorder="1"/>
    <xf numFmtId="0" fontId="3" fillId="0" borderId="8" xfId="0" applyFont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8" borderId="3" xfId="0" applyFill="1" applyBorder="1"/>
    <xf numFmtId="0" fontId="0" fillId="16" borderId="1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15" borderId="2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0">
    <dxf>
      <fill>
        <patternFill>
          <bgColor theme="2"/>
        </patternFill>
      </fill>
    </dxf>
    <dxf>
      <fill>
        <patternFill>
          <bgColor rgb="FFFFFF9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/>
        </patternFill>
      </fill>
    </dxf>
    <dxf>
      <fill>
        <patternFill>
          <bgColor rgb="FFFFFF9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76363"/>
      <color rgb="FFFFFF99"/>
      <color rgb="FFCCFF33"/>
      <color rgb="FFFF9999"/>
      <color rgb="FFFF66FF"/>
      <color rgb="FF66FFFF"/>
      <color rgb="FFFF0000"/>
      <color rgb="FF00CC00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64BD-59C8-4BBF-A396-127029155FF9}">
  <sheetPr codeName="Sheet2"/>
  <dimension ref="B1:AG80"/>
  <sheetViews>
    <sheetView zoomScale="85" zoomScaleNormal="85" workbookViewId="0">
      <pane xSplit="3" ySplit="4" topLeftCell="D31" activePane="bottomRight" state="frozen"/>
      <selection pane="topRight" activeCell="D1" sqref="D1"/>
      <selection pane="bottomLeft" activeCell="A5" sqref="A5"/>
      <selection pane="bottomRight" activeCell="D78" sqref="D78"/>
    </sheetView>
  </sheetViews>
  <sheetFormatPr defaultRowHeight="15" x14ac:dyDescent="0.25"/>
  <cols>
    <col min="2" max="2" width="15.85546875" customWidth="1"/>
    <col min="3" max="3" width="19.5703125" customWidth="1"/>
    <col min="4" max="5" width="12.5703125" customWidth="1"/>
    <col min="6" max="6" width="11.140625" customWidth="1"/>
    <col min="7" max="7" width="11.28515625" customWidth="1"/>
    <col min="8" max="8" width="10.42578125" customWidth="1"/>
    <col min="9" max="9" width="13.28515625" customWidth="1"/>
    <col min="10" max="10" width="10.85546875" customWidth="1"/>
    <col min="11" max="11" width="10.7109375" customWidth="1"/>
    <col min="12" max="12" width="14.28515625" customWidth="1"/>
    <col min="13" max="13" width="10.42578125" customWidth="1"/>
    <col min="14" max="14" width="10.7109375" customWidth="1"/>
    <col min="15" max="15" width="10.5703125" customWidth="1"/>
    <col min="16" max="16" width="3.85546875" customWidth="1"/>
    <col min="19" max="19" width="12.85546875" customWidth="1"/>
    <col min="23" max="23" width="10" customWidth="1"/>
    <col min="24" max="24" width="10.5703125" bestFit="1" customWidth="1"/>
    <col min="25" max="25" width="9.140625" bestFit="1" customWidth="1"/>
    <col min="28" max="28" width="12.5703125" customWidth="1"/>
    <col min="31" max="31" width="12.85546875" customWidth="1"/>
    <col min="32" max="32" width="13.5703125" customWidth="1"/>
    <col min="34" max="34" width="13.42578125" customWidth="1"/>
  </cols>
  <sheetData>
    <row r="1" spans="2:32" ht="15.75" thickBot="1" x14ac:dyDescent="0.3"/>
    <row r="2" spans="2:32" ht="15.75" thickBot="1" x14ac:dyDescent="0.3">
      <c r="D2" s="98" t="s">
        <v>18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100"/>
    </row>
    <row r="3" spans="2:32" ht="15.75" thickBot="1" x14ac:dyDescent="0.3">
      <c r="D3" s="98" t="s">
        <v>92</v>
      </c>
      <c r="E3" s="99"/>
      <c r="F3" s="99"/>
      <c r="G3" s="99"/>
      <c r="H3" s="99"/>
      <c r="I3" s="99"/>
      <c r="J3" s="99"/>
      <c r="K3" s="99"/>
      <c r="L3" s="99"/>
      <c r="M3" s="99"/>
      <c r="N3" s="99"/>
      <c r="O3" s="100"/>
      <c r="P3" s="101"/>
      <c r="Q3" s="98" t="s">
        <v>93</v>
      </c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100"/>
    </row>
    <row r="4" spans="2:32" ht="15.75" thickBot="1" x14ac:dyDescent="0.3">
      <c r="D4" s="7" t="s">
        <v>0</v>
      </c>
      <c r="E4" s="7" t="s">
        <v>1</v>
      </c>
      <c r="F4" s="7" t="s">
        <v>2</v>
      </c>
      <c r="G4" s="7" t="s">
        <v>44</v>
      </c>
      <c r="H4" s="7" t="s">
        <v>90</v>
      </c>
      <c r="I4" s="7" t="s">
        <v>3</v>
      </c>
      <c r="J4" s="7" t="s">
        <v>91</v>
      </c>
      <c r="K4" s="7" t="s">
        <v>4</v>
      </c>
      <c r="L4" s="7" t="s">
        <v>5</v>
      </c>
      <c r="M4" s="7" t="s">
        <v>6</v>
      </c>
      <c r="N4" s="7" t="s">
        <v>75</v>
      </c>
      <c r="O4" s="7" t="s">
        <v>7</v>
      </c>
      <c r="P4" s="102"/>
      <c r="Q4" s="7" t="s">
        <v>9</v>
      </c>
      <c r="R4" s="7" t="s">
        <v>10</v>
      </c>
      <c r="S4" s="7" t="s">
        <v>11</v>
      </c>
      <c r="T4" s="7" t="s">
        <v>89</v>
      </c>
      <c r="U4" s="7" t="s">
        <v>12</v>
      </c>
      <c r="V4" s="7" t="s">
        <v>13</v>
      </c>
      <c r="W4" s="7" t="s">
        <v>14</v>
      </c>
      <c r="X4" s="7" t="s">
        <v>15</v>
      </c>
      <c r="Y4" s="7" t="s">
        <v>16</v>
      </c>
      <c r="Z4" s="7" t="s">
        <v>17</v>
      </c>
      <c r="AA4" s="7" t="s">
        <v>65</v>
      </c>
      <c r="AB4" s="7" t="s">
        <v>85</v>
      </c>
      <c r="AC4" s="7" t="s">
        <v>86</v>
      </c>
      <c r="AD4" s="7" t="s">
        <v>87</v>
      </c>
      <c r="AE4" s="7" t="s">
        <v>94</v>
      </c>
      <c r="AF4" s="7" t="s">
        <v>8</v>
      </c>
    </row>
    <row r="5" spans="2:32" ht="15.75" thickBot="1" x14ac:dyDescent="0.3">
      <c r="B5" s="5"/>
      <c r="C5" s="5" t="str" cm="1">
        <f t="array" ref="C5:C69">Sheet3!C5:C69</f>
        <v>Jayce</v>
      </c>
      <c r="D5" s="1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102"/>
      <c r="Q5" s="59"/>
      <c r="R5" s="54"/>
      <c r="S5" s="19"/>
      <c r="T5" s="55"/>
      <c r="U5" s="55"/>
      <c r="V5" s="55"/>
      <c r="W5" s="55"/>
      <c r="X5" s="55"/>
      <c r="Y5" s="55"/>
      <c r="Z5" s="55"/>
      <c r="AA5" s="55"/>
      <c r="AB5" s="55"/>
      <c r="AC5" s="55"/>
      <c r="AD5" s="59"/>
      <c r="AE5" s="40"/>
      <c r="AF5" s="40"/>
    </row>
    <row r="6" spans="2:32" ht="15.75" thickBot="1" x14ac:dyDescent="0.3">
      <c r="B6" s="39"/>
      <c r="C6" s="4" t="str">
        <v>Janna</v>
      </c>
      <c r="D6" s="20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02"/>
      <c r="Q6" s="39"/>
      <c r="R6" s="39"/>
      <c r="S6" s="39"/>
      <c r="T6" s="39"/>
      <c r="U6" s="39"/>
      <c r="V6" s="39"/>
      <c r="W6" s="39"/>
      <c r="X6" s="39"/>
      <c r="Y6" s="19"/>
      <c r="Z6" s="39"/>
      <c r="AA6" s="39"/>
      <c r="AB6" s="39"/>
      <c r="AC6" s="39"/>
      <c r="AD6" s="39"/>
      <c r="AE6" s="39"/>
      <c r="AF6" s="39"/>
    </row>
    <row r="7" spans="2:32" ht="15.75" thickBot="1" x14ac:dyDescent="0.3">
      <c r="B7" s="39"/>
      <c r="C7" s="4" t="str">
        <v>Ezreal</v>
      </c>
      <c r="D7" s="20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102"/>
      <c r="Q7" s="39"/>
      <c r="R7" s="39"/>
      <c r="S7" s="39"/>
      <c r="T7" s="39"/>
      <c r="U7" s="39"/>
      <c r="V7" s="39"/>
      <c r="W7" s="39"/>
      <c r="X7" s="39"/>
      <c r="Y7" s="60"/>
      <c r="Z7" s="39"/>
      <c r="AA7" s="39"/>
      <c r="AB7" s="19"/>
      <c r="AC7" s="39"/>
      <c r="AD7" s="39"/>
      <c r="AE7" s="39"/>
      <c r="AF7" s="39"/>
    </row>
    <row r="8" spans="2:32" x14ac:dyDescent="0.25">
      <c r="B8" s="39"/>
      <c r="C8" s="4" t="str">
        <v>Azir</v>
      </c>
      <c r="D8" s="91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102"/>
      <c r="Q8" s="68"/>
      <c r="R8" s="39"/>
      <c r="S8" s="39"/>
      <c r="T8" s="39"/>
      <c r="U8" s="39"/>
      <c r="V8" s="19"/>
      <c r="W8" s="39"/>
      <c r="X8" s="19"/>
      <c r="Y8" s="39"/>
      <c r="Z8" s="39"/>
      <c r="AA8" s="39"/>
      <c r="AB8" s="39"/>
      <c r="AC8" s="39"/>
      <c r="AD8" s="68"/>
      <c r="AE8" s="39"/>
      <c r="AF8" s="39"/>
    </row>
    <row r="9" spans="2:32" ht="15.75" thickBot="1" x14ac:dyDescent="0.3">
      <c r="B9" s="86"/>
      <c r="C9" s="6" t="str">
        <v>Mundo</v>
      </c>
      <c r="D9" s="30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102"/>
      <c r="Q9" s="30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30"/>
      <c r="AE9" s="59"/>
      <c r="AF9" s="59"/>
    </row>
    <row r="10" spans="2:32" x14ac:dyDescent="0.25">
      <c r="B10" s="3"/>
      <c r="C10" s="3" t="str">
        <v>Gragas</v>
      </c>
      <c r="D10" s="60"/>
      <c r="E10" s="29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102"/>
      <c r="Q10" s="29"/>
      <c r="R10" s="60"/>
      <c r="S10" s="60"/>
      <c r="T10" s="39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</row>
    <row r="11" spans="2:32" x14ac:dyDescent="0.25">
      <c r="B11" s="39"/>
      <c r="C11" s="4" t="str">
        <v>Poppy</v>
      </c>
      <c r="D11" s="39"/>
      <c r="E11" s="2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102"/>
      <c r="Q11" s="39"/>
      <c r="R11" s="29"/>
      <c r="S11" s="39"/>
      <c r="T11" s="39"/>
      <c r="U11" s="60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2:32" x14ac:dyDescent="0.25">
      <c r="B12" s="39"/>
      <c r="C12" s="4" t="str">
        <v>Maokai</v>
      </c>
      <c r="D12" s="39"/>
      <c r="E12" s="2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102"/>
      <c r="Q12" s="39"/>
      <c r="R12" s="39"/>
      <c r="S12" s="39"/>
      <c r="T12" s="2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2:32" x14ac:dyDescent="0.25">
      <c r="B13" s="39"/>
      <c r="C13" s="4" t="str">
        <v>Draven</v>
      </c>
      <c r="D13" s="60"/>
      <c r="E13" s="2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102"/>
      <c r="Q13" s="39"/>
      <c r="R13" s="60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29"/>
      <c r="AD13" s="39"/>
      <c r="AE13" s="39"/>
      <c r="AF13" s="39"/>
    </row>
    <row r="14" spans="2:32" x14ac:dyDescent="0.25">
      <c r="B14" s="39"/>
      <c r="C14" s="4" t="str">
        <v>Katarina</v>
      </c>
      <c r="D14" s="39"/>
      <c r="E14" s="2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102"/>
      <c r="Q14" s="39"/>
      <c r="R14" s="39"/>
      <c r="S14" s="39"/>
      <c r="T14" s="39"/>
      <c r="U14" s="39"/>
      <c r="V14" s="39"/>
      <c r="W14" s="39"/>
      <c r="X14" s="29"/>
      <c r="Y14" s="39"/>
      <c r="Z14" s="39"/>
      <c r="AA14" s="39"/>
      <c r="AB14" s="39"/>
      <c r="AC14" s="39"/>
      <c r="AD14" s="39"/>
      <c r="AE14" s="39"/>
      <c r="AF14" s="39"/>
    </row>
    <row r="15" spans="2:32" x14ac:dyDescent="0.25">
      <c r="B15" s="39"/>
      <c r="C15" s="4" t="str">
        <v>Kog'Maw</v>
      </c>
      <c r="D15" s="60"/>
      <c r="E15" s="2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102"/>
      <c r="Q15" s="39"/>
      <c r="R15" s="39"/>
      <c r="S15" s="39"/>
      <c r="T15" s="39"/>
      <c r="U15" s="39"/>
      <c r="V15" s="39"/>
      <c r="W15" s="39"/>
      <c r="X15" s="60"/>
      <c r="Y15" s="39"/>
      <c r="Z15" s="39"/>
      <c r="AA15" s="39"/>
      <c r="AB15" s="29"/>
      <c r="AC15" s="39"/>
      <c r="AD15" s="39"/>
      <c r="AE15" s="39"/>
      <c r="AF15" s="39"/>
    </row>
    <row r="16" spans="2:32" x14ac:dyDescent="0.25">
      <c r="B16" s="39"/>
      <c r="C16" s="4" t="str">
        <v>Master Yi</v>
      </c>
      <c r="D16" s="39"/>
      <c r="E16" s="2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102"/>
      <c r="Q16" s="39"/>
      <c r="R16" s="39"/>
      <c r="S16" s="39"/>
      <c r="T16" s="39"/>
      <c r="U16" s="2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2:32" ht="15.75" thickBot="1" x14ac:dyDescent="0.3">
      <c r="B17" s="86"/>
      <c r="C17" s="6" t="str">
        <v>Braum</v>
      </c>
      <c r="D17" s="59"/>
      <c r="E17" s="27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102"/>
      <c r="Q17" s="59"/>
      <c r="R17" s="27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</row>
    <row r="18" spans="2:32" x14ac:dyDescent="0.25">
      <c r="B18" s="3"/>
      <c r="C18" s="5" t="str">
        <v>Xayah</v>
      </c>
      <c r="D18" s="60"/>
      <c r="E18" s="60"/>
      <c r="F18" s="26"/>
      <c r="G18" s="60"/>
      <c r="H18" s="60"/>
      <c r="I18" s="60"/>
      <c r="J18" s="60"/>
      <c r="K18" s="60"/>
      <c r="L18" s="60"/>
      <c r="M18" s="60"/>
      <c r="N18" s="60"/>
      <c r="O18" s="60"/>
      <c r="P18" s="102"/>
      <c r="Q18" s="60"/>
      <c r="R18" s="60"/>
      <c r="S18" s="60"/>
      <c r="T18" s="60"/>
      <c r="U18" s="26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</row>
    <row r="19" spans="2:32" x14ac:dyDescent="0.25">
      <c r="B19" s="39"/>
      <c r="C19" s="4" t="str">
        <v>Lucian</v>
      </c>
      <c r="D19" s="39"/>
      <c r="E19" s="39"/>
      <c r="F19" s="26"/>
      <c r="G19" s="39"/>
      <c r="H19" s="39"/>
      <c r="I19" s="39"/>
      <c r="J19" s="39"/>
      <c r="K19" s="39"/>
      <c r="L19" s="39"/>
      <c r="M19" s="39"/>
      <c r="N19" s="39"/>
      <c r="O19" s="39"/>
      <c r="P19" s="102"/>
      <c r="Q19" s="39"/>
      <c r="R19" s="39"/>
      <c r="S19" s="39"/>
      <c r="T19" s="39"/>
      <c r="U19" s="39"/>
      <c r="V19" s="39"/>
      <c r="W19" s="26"/>
      <c r="X19" s="39"/>
      <c r="Y19" s="39"/>
      <c r="Z19" s="39"/>
      <c r="AA19" s="39"/>
      <c r="AB19" s="39"/>
      <c r="AC19" s="39"/>
      <c r="AD19" s="39"/>
      <c r="AE19" s="39"/>
      <c r="AF19" s="39"/>
    </row>
    <row r="20" spans="2:32" x14ac:dyDescent="0.25">
      <c r="B20" s="39"/>
      <c r="C20" s="4" t="str">
        <v>Rakan</v>
      </c>
      <c r="D20" s="60"/>
      <c r="E20" s="39"/>
      <c r="F20" s="26"/>
      <c r="G20" s="39"/>
      <c r="H20" s="39"/>
      <c r="I20" s="39"/>
      <c r="J20" s="39"/>
      <c r="K20" s="39"/>
      <c r="L20" s="39"/>
      <c r="M20" s="39"/>
      <c r="N20" s="39"/>
      <c r="O20" s="39"/>
      <c r="P20" s="102"/>
      <c r="Q20" s="39"/>
      <c r="R20" s="39"/>
      <c r="S20" s="39"/>
      <c r="T20" s="26"/>
      <c r="U20" s="39"/>
      <c r="V20" s="39"/>
      <c r="W20" s="60"/>
      <c r="X20" s="39"/>
      <c r="Y20" s="39"/>
      <c r="Z20" s="39"/>
      <c r="AA20" s="39"/>
      <c r="AB20" s="39"/>
      <c r="AC20" s="39"/>
      <c r="AD20" s="39"/>
      <c r="AE20" s="39"/>
      <c r="AF20" s="39"/>
    </row>
    <row r="21" spans="2:32" ht="15.75" thickBot="1" x14ac:dyDescent="0.3">
      <c r="B21" s="86"/>
      <c r="C21" s="6" t="str">
        <v>Senna</v>
      </c>
      <c r="D21" s="59"/>
      <c r="E21" s="59"/>
      <c r="F21" s="12"/>
      <c r="G21" s="59"/>
      <c r="H21" s="59"/>
      <c r="I21" s="59"/>
      <c r="J21" s="59"/>
      <c r="K21" s="59"/>
      <c r="L21" s="59"/>
      <c r="M21" s="59"/>
      <c r="N21" s="59"/>
      <c r="O21" s="59"/>
      <c r="P21" s="102"/>
      <c r="Q21" s="59"/>
      <c r="R21" s="59"/>
      <c r="S21" s="59"/>
      <c r="T21" s="59"/>
      <c r="U21" s="59"/>
      <c r="V21" s="59"/>
      <c r="W21" s="12"/>
      <c r="X21" s="59"/>
      <c r="Y21" s="59"/>
      <c r="Z21" s="59"/>
      <c r="AA21" s="59"/>
      <c r="AB21" s="59"/>
      <c r="AC21" s="59"/>
      <c r="AD21" s="59"/>
      <c r="AE21" s="59"/>
      <c r="AF21" s="59"/>
    </row>
    <row r="22" spans="2:32" x14ac:dyDescent="0.25">
      <c r="B22" s="3"/>
      <c r="C22" s="5" t="str">
        <v>Seraphine</v>
      </c>
      <c r="D22" s="60"/>
      <c r="E22" s="60"/>
      <c r="F22" s="60"/>
      <c r="G22" s="28"/>
      <c r="H22" s="60"/>
      <c r="I22" s="60"/>
      <c r="J22" s="60"/>
      <c r="K22" s="60"/>
      <c r="L22" s="60"/>
      <c r="M22" s="60"/>
      <c r="N22" s="60"/>
      <c r="O22" s="60"/>
      <c r="P22" s="102"/>
      <c r="Q22" s="60"/>
      <c r="R22" s="60"/>
      <c r="S22" s="60"/>
      <c r="T22" s="60"/>
      <c r="U22" s="60"/>
      <c r="V22" s="60"/>
      <c r="W22" s="28"/>
      <c r="X22" s="60"/>
      <c r="Y22" s="60"/>
      <c r="Z22" s="60"/>
      <c r="AA22" s="60"/>
      <c r="AB22" s="60"/>
      <c r="AC22" s="60"/>
      <c r="AD22" s="60"/>
      <c r="AE22" s="60"/>
      <c r="AF22" s="60"/>
    </row>
    <row r="23" spans="2:32" x14ac:dyDescent="0.25">
      <c r="B23" s="39"/>
      <c r="C23" s="4" t="str">
        <v>Ashe</v>
      </c>
      <c r="D23" s="39"/>
      <c r="E23" s="39"/>
      <c r="F23" s="39"/>
      <c r="G23" s="28"/>
      <c r="H23" s="39"/>
      <c r="I23" s="39"/>
      <c r="J23" s="39"/>
      <c r="K23" s="39"/>
      <c r="L23" s="39"/>
      <c r="M23" s="39"/>
      <c r="N23" s="39"/>
      <c r="O23" s="39"/>
      <c r="P23" s="102"/>
      <c r="Q23" s="39"/>
      <c r="R23" s="39"/>
      <c r="S23" s="39"/>
      <c r="T23" s="39"/>
      <c r="U23" s="28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2:32" x14ac:dyDescent="0.25">
      <c r="B24" s="39"/>
      <c r="C24" s="4" t="str">
        <v>Oriana</v>
      </c>
      <c r="D24" s="60"/>
      <c r="E24" s="39"/>
      <c r="F24" s="39"/>
      <c r="G24" s="28"/>
      <c r="H24" s="39"/>
      <c r="I24" s="39"/>
      <c r="J24" s="39"/>
      <c r="K24" s="39"/>
      <c r="L24" s="39"/>
      <c r="M24" s="39"/>
      <c r="N24" s="39"/>
      <c r="O24" s="39"/>
      <c r="P24" s="102"/>
      <c r="Q24" s="39"/>
      <c r="R24" s="39"/>
      <c r="S24" s="39"/>
      <c r="T24" s="39"/>
      <c r="U24" s="39"/>
      <c r="V24" s="28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2:32" x14ac:dyDescent="0.25">
      <c r="B25" s="39"/>
      <c r="C25" s="4" t="str">
        <v>Lulu</v>
      </c>
      <c r="D25" s="60"/>
      <c r="E25" s="39"/>
      <c r="F25" s="39"/>
      <c r="G25" s="28"/>
      <c r="H25" s="39"/>
      <c r="I25" s="39"/>
      <c r="J25" s="39"/>
      <c r="K25" s="39"/>
      <c r="L25" s="39"/>
      <c r="M25" s="39"/>
      <c r="N25" s="39"/>
      <c r="O25" s="39"/>
      <c r="P25" s="102"/>
      <c r="Q25" s="39"/>
      <c r="R25" s="39"/>
      <c r="S25" s="39"/>
      <c r="T25" s="60"/>
      <c r="U25" s="39"/>
      <c r="V25" s="39"/>
      <c r="W25" s="39"/>
      <c r="X25" s="39"/>
      <c r="Y25" s="28"/>
      <c r="Z25" s="39"/>
      <c r="AA25" s="60"/>
      <c r="AB25" s="39"/>
      <c r="AC25" s="39"/>
      <c r="AD25" s="60"/>
      <c r="AE25" s="60"/>
      <c r="AF25" s="60"/>
    </row>
    <row r="26" spans="2:32" x14ac:dyDescent="0.25">
      <c r="B26" s="39"/>
      <c r="C26" s="4" t="str">
        <v>Yone</v>
      </c>
      <c r="D26" s="39"/>
      <c r="E26" s="39"/>
      <c r="F26" s="39"/>
      <c r="G26" s="28"/>
      <c r="H26" s="39"/>
      <c r="I26" s="39"/>
      <c r="J26" s="39"/>
      <c r="K26" s="39"/>
      <c r="L26" s="39"/>
      <c r="M26" s="39"/>
      <c r="N26" s="39"/>
      <c r="O26" s="39"/>
      <c r="P26" s="102"/>
      <c r="Q26" s="39"/>
      <c r="R26" s="39"/>
      <c r="S26" s="39"/>
      <c r="T26" s="39"/>
      <c r="U26" s="28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2:32" x14ac:dyDescent="0.25">
      <c r="B27" s="39"/>
      <c r="C27" s="4" t="str">
        <v>Renekton</v>
      </c>
      <c r="D27" s="39"/>
      <c r="E27" s="39"/>
      <c r="F27" s="39"/>
      <c r="G27" s="28"/>
      <c r="H27" s="39"/>
      <c r="I27" s="39"/>
      <c r="J27" s="39"/>
      <c r="K27" s="39"/>
      <c r="L27" s="39"/>
      <c r="M27" s="39"/>
      <c r="N27" s="39"/>
      <c r="O27" s="39"/>
      <c r="P27" s="102"/>
      <c r="Q27" s="39"/>
      <c r="R27" s="39"/>
      <c r="S27" s="39"/>
      <c r="T27" s="28"/>
      <c r="U27" s="39"/>
      <c r="V27" s="39"/>
      <c r="W27" s="39"/>
      <c r="X27" s="39"/>
      <c r="Y27" s="39"/>
      <c r="Z27" s="39"/>
      <c r="AA27" s="28"/>
      <c r="AB27" s="39"/>
      <c r="AC27" s="39"/>
      <c r="AD27" s="39"/>
      <c r="AE27" s="39"/>
      <c r="AF27" s="39"/>
    </row>
    <row r="28" spans="2:32" x14ac:dyDescent="0.25">
      <c r="B28" s="39"/>
      <c r="C28" s="4" t="str">
        <v>Caitlyn</v>
      </c>
      <c r="D28" s="39"/>
      <c r="E28" s="39"/>
      <c r="F28" s="39"/>
      <c r="G28" s="28"/>
      <c r="H28" s="39"/>
      <c r="I28" s="39"/>
      <c r="J28" s="39"/>
      <c r="K28" s="39"/>
      <c r="L28" s="39"/>
      <c r="M28" s="39"/>
      <c r="N28" s="39"/>
      <c r="O28" s="39"/>
      <c r="P28" s="102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28"/>
      <c r="AD28" s="39"/>
      <c r="AE28" s="39"/>
      <c r="AF28" s="39"/>
    </row>
    <row r="29" spans="2:32" ht="15.75" thickBot="1" x14ac:dyDescent="0.3">
      <c r="B29" s="86"/>
      <c r="C29" s="6" t="str">
        <v>Reksai</v>
      </c>
      <c r="D29" s="59"/>
      <c r="E29" s="59"/>
      <c r="F29" s="59"/>
      <c r="G29" s="31"/>
      <c r="H29" s="59"/>
      <c r="I29" s="59"/>
      <c r="J29" s="59"/>
      <c r="K29" s="59"/>
      <c r="L29" s="59"/>
      <c r="M29" s="59"/>
      <c r="N29" s="59"/>
      <c r="O29" s="59"/>
      <c r="P29" s="102"/>
      <c r="Q29" s="31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</row>
    <row r="30" spans="2:32" x14ac:dyDescent="0.25">
      <c r="B30" s="3"/>
      <c r="C30" s="5" t="str">
        <v>Ekko</v>
      </c>
      <c r="D30" s="60"/>
      <c r="E30" s="60"/>
      <c r="F30" s="60"/>
      <c r="G30" s="60"/>
      <c r="H30" s="13"/>
      <c r="I30" s="60"/>
      <c r="J30" s="60"/>
      <c r="K30" s="60"/>
      <c r="L30" s="60"/>
      <c r="M30" s="60"/>
      <c r="N30" s="60"/>
      <c r="O30" s="60"/>
      <c r="P30" s="102"/>
      <c r="Q30" s="60"/>
      <c r="R30" s="60"/>
      <c r="S30" s="60"/>
      <c r="T30" s="60"/>
      <c r="U30" s="60"/>
      <c r="V30" s="60"/>
      <c r="W30" s="60"/>
      <c r="X30" s="13"/>
      <c r="Y30" s="60"/>
      <c r="Z30" s="60"/>
      <c r="AA30" s="60"/>
      <c r="AB30" s="60"/>
      <c r="AC30" s="60"/>
      <c r="AD30" s="60"/>
      <c r="AE30" s="60"/>
      <c r="AF30" s="60"/>
    </row>
    <row r="31" spans="2:32" x14ac:dyDescent="0.25">
      <c r="B31" s="39"/>
      <c r="C31" s="4" t="str">
        <v>Elise</v>
      </c>
      <c r="D31" s="60"/>
      <c r="E31" s="39"/>
      <c r="F31" s="39"/>
      <c r="G31" s="39"/>
      <c r="H31" s="13"/>
      <c r="I31" s="39"/>
      <c r="J31" s="39"/>
      <c r="K31" s="39"/>
      <c r="L31" s="39"/>
      <c r="M31" s="39"/>
      <c r="N31" s="39"/>
      <c r="O31" s="39"/>
      <c r="P31" s="102"/>
      <c r="Q31" s="39"/>
      <c r="R31" s="39"/>
      <c r="S31" s="13"/>
      <c r="T31" s="39"/>
      <c r="U31" s="60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2:32" x14ac:dyDescent="0.25">
      <c r="B32" s="39"/>
      <c r="C32" s="4" t="str">
        <v>Nocturne</v>
      </c>
      <c r="D32" s="39"/>
      <c r="E32" s="39"/>
      <c r="F32" s="39"/>
      <c r="G32" s="39"/>
      <c r="H32" s="13"/>
      <c r="I32" s="39"/>
      <c r="J32" s="39"/>
      <c r="K32" s="39"/>
      <c r="L32" s="39"/>
      <c r="M32" s="39"/>
      <c r="N32" s="39"/>
      <c r="O32" s="39"/>
      <c r="P32" s="102"/>
      <c r="Q32" s="39"/>
      <c r="R32" s="39"/>
      <c r="S32" s="39"/>
      <c r="T32" s="39"/>
      <c r="U32" s="13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2:32" x14ac:dyDescent="0.25">
      <c r="B33" s="39"/>
      <c r="C33" s="4" t="str">
        <v>Veigar</v>
      </c>
      <c r="D33" s="39"/>
      <c r="E33" s="39"/>
      <c r="F33" s="39"/>
      <c r="G33" s="39"/>
      <c r="H33" s="13"/>
      <c r="I33" s="60"/>
      <c r="J33" s="39"/>
      <c r="K33" s="39"/>
      <c r="L33" s="39"/>
      <c r="M33" s="39"/>
      <c r="N33" s="39"/>
      <c r="O33" s="39"/>
      <c r="P33" s="102"/>
      <c r="Q33" s="39"/>
      <c r="R33" s="39"/>
      <c r="S33" s="39"/>
      <c r="T33" s="39"/>
      <c r="U33" s="39"/>
      <c r="V33" s="13"/>
      <c r="W33" s="39"/>
      <c r="X33" s="60"/>
      <c r="Y33" s="39"/>
      <c r="Z33" s="39"/>
      <c r="AA33" s="39"/>
      <c r="AB33" s="39"/>
      <c r="AC33" s="39"/>
      <c r="AD33" s="60"/>
      <c r="AE33" s="60"/>
      <c r="AF33" s="60"/>
    </row>
    <row r="34" spans="2:32" x14ac:dyDescent="0.25">
      <c r="B34" s="39"/>
      <c r="C34" s="4" t="str">
        <v>Blitzcrank</v>
      </c>
      <c r="D34" s="39"/>
      <c r="E34" s="39"/>
      <c r="F34" s="39"/>
      <c r="G34" s="39"/>
      <c r="H34" s="13"/>
      <c r="I34" s="39"/>
      <c r="J34" s="39"/>
      <c r="K34" s="39"/>
      <c r="L34" s="39"/>
      <c r="M34" s="39"/>
      <c r="N34" s="39"/>
      <c r="O34" s="39"/>
      <c r="P34" s="102"/>
      <c r="Q34" s="39"/>
      <c r="R34" s="13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2:32" ht="15.75" thickBot="1" x14ac:dyDescent="0.3">
      <c r="B35" s="3"/>
      <c r="C35" s="6" t="str">
        <v>Shaco</v>
      </c>
      <c r="D35" s="59"/>
      <c r="E35" s="59"/>
      <c r="F35" s="59"/>
      <c r="G35" s="59"/>
      <c r="H35" s="14"/>
      <c r="I35" s="34"/>
      <c r="J35" s="59"/>
      <c r="K35" s="59"/>
      <c r="L35" s="59"/>
      <c r="M35" s="59"/>
      <c r="N35" s="59"/>
      <c r="O35" s="59"/>
      <c r="P35" s="102"/>
      <c r="Q35" s="59"/>
      <c r="R35" s="59"/>
      <c r="S35" s="59"/>
      <c r="T35" s="59"/>
      <c r="U35" s="59"/>
      <c r="V35" s="59"/>
      <c r="W35" s="59"/>
      <c r="X35" s="14"/>
      <c r="Y35" s="59"/>
      <c r="Z35" s="59"/>
      <c r="AA35" s="59"/>
      <c r="AB35" s="59"/>
      <c r="AC35" s="59"/>
      <c r="AD35" s="59"/>
      <c r="AE35" s="59"/>
      <c r="AF35" s="59"/>
    </row>
    <row r="36" spans="2:32" x14ac:dyDescent="0.25">
      <c r="B36" s="40"/>
      <c r="C36" s="5" t="str">
        <v>Annie</v>
      </c>
      <c r="D36" s="60"/>
      <c r="E36" s="60"/>
      <c r="F36" s="60"/>
      <c r="G36" s="60"/>
      <c r="H36" s="60"/>
      <c r="I36" s="32"/>
      <c r="J36" s="60"/>
      <c r="K36" s="60"/>
      <c r="L36" s="60"/>
      <c r="M36" s="60"/>
      <c r="N36" s="60"/>
      <c r="O36" s="60"/>
      <c r="P36" s="102"/>
      <c r="Q36" s="32"/>
      <c r="R36" s="60"/>
      <c r="S36" s="40"/>
      <c r="T36" s="60"/>
      <c r="U36" s="60"/>
      <c r="V36" s="60"/>
      <c r="W36" s="32"/>
      <c r="X36" s="60"/>
      <c r="Y36" s="60"/>
      <c r="Z36" s="60"/>
      <c r="AA36" s="60"/>
      <c r="AB36" s="60"/>
      <c r="AC36" s="60"/>
      <c r="AD36" s="60"/>
      <c r="AE36" s="60"/>
      <c r="AF36" s="60"/>
    </row>
    <row r="37" spans="2:32" ht="15.75" thickBot="1" x14ac:dyDescent="0.3">
      <c r="B37" s="3"/>
      <c r="C37" s="4" t="str">
        <v>Rengar</v>
      </c>
      <c r="D37" s="39"/>
      <c r="E37" s="39"/>
      <c r="F37" s="39"/>
      <c r="G37" s="39"/>
      <c r="H37" s="39"/>
      <c r="I37" s="32"/>
      <c r="J37" s="39"/>
      <c r="K37" s="39"/>
      <c r="L37" s="39"/>
      <c r="M37" s="39"/>
      <c r="N37" s="39"/>
      <c r="O37" s="39"/>
      <c r="P37" s="102"/>
      <c r="Q37" s="39"/>
      <c r="R37" s="39"/>
      <c r="S37" s="60"/>
      <c r="T37" s="39"/>
      <c r="U37" s="39"/>
      <c r="V37" s="39"/>
      <c r="W37" s="39"/>
      <c r="X37" s="39"/>
      <c r="Y37" s="39"/>
      <c r="Z37" s="32"/>
      <c r="AA37" s="39"/>
      <c r="AB37" s="39"/>
      <c r="AC37" s="39"/>
      <c r="AD37" s="39"/>
      <c r="AE37" s="59"/>
      <c r="AF37" s="39"/>
    </row>
    <row r="38" spans="2:32" x14ac:dyDescent="0.25">
      <c r="B38" s="39"/>
      <c r="C38" s="3" t="str">
        <v>Soraka</v>
      </c>
      <c r="D38" s="60"/>
      <c r="E38" s="39"/>
      <c r="F38" s="39"/>
      <c r="G38" s="39"/>
      <c r="H38" s="39"/>
      <c r="I38" s="32"/>
      <c r="J38" s="39"/>
      <c r="K38" s="39"/>
      <c r="L38" s="39"/>
      <c r="M38" s="39"/>
      <c r="N38" s="39"/>
      <c r="O38" s="39"/>
      <c r="P38" s="102"/>
      <c r="Q38" s="39"/>
      <c r="R38" s="39"/>
      <c r="S38" s="39"/>
      <c r="T38" s="39"/>
      <c r="U38" s="39"/>
      <c r="V38" s="39"/>
      <c r="W38" s="39"/>
      <c r="X38" s="39"/>
      <c r="Y38" s="32"/>
      <c r="Z38" s="60"/>
      <c r="AA38" s="39"/>
      <c r="AB38" s="39"/>
      <c r="AC38" s="39"/>
      <c r="AD38" s="39"/>
      <c r="AE38" s="39"/>
      <c r="AF38" s="39"/>
    </row>
    <row r="39" spans="2:32" ht="15.75" thickBot="1" x14ac:dyDescent="0.3">
      <c r="B39" s="86"/>
      <c r="C39" s="2" t="str">
        <v>Fiddle</v>
      </c>
      <c r="D39" s="59"/>
      <c r="E39" s="59"/>
      <c r="F39" s="59"/>
      <c r="G39" s="59"/>
      <c r="H39" s="59"/>
      <c r="I39" s="34"/>
      <c r="J39" s="59"/>
      <c r="K39" s="59"/>
      <c r="L39" s="59"/>
      <c r="M39" s="59"/>
      <c r="N39" s="59"/>
      <c r="O39" s="59"/>
      <c r="P39" s="102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34"/>
      <c r="AF39" s="59"/>
    </row>
    <row r="40" spans="2:32" x14ac:dyDescent="0.25">
      <c r="B40" s="40"/>
      <c r="C40" s="5" t="str">
        <v>Teemo</v>
      </c>
      <c r="D40" s="60"/>
      <c r="E40" s="60"/>
      <c r="F40" s="60"/>
      <c r="G40" s="60"/>
      <c r="H40" s="60"/>
      <c r="I40" s="60"/>
      <c r="J40" s="33"/>
      <c r="K40" s="60"/>
      <c r="L40" s="60"/>
      <c r="M40" s="60"/>
      <c r="N40" s="60"/>
      <c r="O40" s="60"/>
      <c r="P40" s="102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33"/>
      <c r="AB40" s="60"/>
      <c r="AC40" s="60"/>
      <c r="AD40" s="60"/>
      <c r="AE40" s="60"/>
      <c r="AF40" s="60"/>
    </row>
    <row r="41" spans="2:32" x14ac:dyDescent="0.25">
      <c r="B41" s="3"/>
      <c r="C41" s="4" t="str">
        <v>Riven</v>
      </c>
      <c r="D41" s="39"/>
      <c r="E41" s="39"/>
      <c r="F41" s="39"/>
      <c r="G41" s="39"/>
      <c r="H41" s="39"/>
      <c r="I41" s="39"/>
      <c r="J41" s="33"/>
      <c r="K41" s="39"/>
      <c r="L41" s="39"/>
      <c r="M41" s="39"/>
      <c r="N41" s="39"/>
      <c r="O41" s="39"/>
      <c r="P41" s="102"/>
      <c r="Q41" s="39"/>
      <c r="R41" s="39"/>
      <c r="S41" s="39"/>
      <c r="T41" s="39"/>
      <c r="U41" s="39"/>
      <c r="V41" s="33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2:32" ht="15.75" thickBot="1" x14ac:dyDescent="0.3">
      <c r="B42" s="86"/>
      <c r="C42" s="2" t="str">
        <v>Fizz</v>
      </c>
      <c r="D42" s="59"/>
      <c r="E42" s="59"/>
      <c r="F42" s="59"/>
      <c r="G42" s="59"/>
      <c r="H42" s="59"/>
      <c r="I42" s="59"/>
      <c r="J42" s="35"/>
      <c r="K42" s="59"/>
      <c r="L42" s="59"/>
      <c r="M42" s="59"/>
      <c r="N42" s="59"/>
      <c r="O42" s="59"/>
      <c r="P42" s="102"/>
      <c r="Q42" s="59"/>
      <c r="R42" s="59"/>
      <c r="S42" s="59"/>
      <c r="T42" s="59"/>
      <c r="U42" s="59"/>
      <c r="V42" s="59"/>
      <c r="W42" s="59"/>
      <c r="X42" s="59"/>
      <c r="Y42" s="59"/>
      <c r="Z42" s="35"/>
      <c r="AA42" s="59"/>
      <c r="AB42" s="35"/>
      <c r="AC42" s="59"/>
      <c r="AD42" s="59"/>
      <c r="AE42" s="59"/>
      <c r="AF42" s="59"/>
    </row>
    <row r="43" spans="2:32" x14ac:dyDescent="0.25">
      <c r="B43" s="40"/>
      <c r="C43" s="1" t="str">
        <v>Renata Glasc</v>
      </c>
      <c r="D43" s="60"/>
      <c r="E43" s="60"/>
      <c r="F43" s="60"/>
      <c r="G43" s="60"/>
      <c r="H43" s="60"/>
      <c r="I43" s="60"/>
      <c r="J43" s="60"/>
      <c r="K43" s="21"/>
      <c r="L43" s="60"/>
      <c r="M43" s="60"/>
      <c r="N43" s="60"/>
      <c r="O43" s="60"/>
      <c r="P43" s="102"/>
      <c r="Q43" s="60"/>
      <c r="R43" s="60"/>
      <c r="S43" s="39"/>
      <c r="T43" s="39"/>
      <c r="U43" s="60"/>
      <c r="V43" s="21"/>
      <c r="W43" s="60"/>
      <c r="X43" s="60"/>
      <c r="Y43" s="60"/>
      <c r="Z43" s="60"/>
      <c r="AA43" s="60"/>
      <c r="AB43" s="60"/>
      <c r="AC43" s="60"/>
      <c r="AD43" s="60"/>
      <c r="AE43" s="60"/>
      <c r="AF43" s="60"/>
    </row>
    <row r="44" spans="2:32" x14ac:dyDescent="0.25">
      <c r="B44" s="39"/>
      <c r="C44" s="4" t="str">
        <v>Nidalee</v>
      </c>
      <c r="D44" s="39"/>
      <c r="E44" s="39"/>
      <c r="F44" s="39"/>
      <c r="G44" s="39"/>
      <c r="H44" s="39"/>
      <c r="I44" s="39"/>
      <c r="J44" s="39"/>
      <c r="K44" s="21"/>
      <c r="L44" s="39"/>
      <c r="M44" s="39"/>
      <c r="N44" s="39"/>
      <c r="O44" s="39"/>
      <c r="P44" s="102"/>
      <c r="Q44" s="39"/>
      <c r="R44" s="39"/>
      <c r="S44" s="21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2:32" x14ac:dyDescent="0.25">
      <c r="B45" s="39"/>
      <c r="C45" s="4" t="str">
        <v>Qiyana</v>
      </c>
      <c r="D45" s="39"/>
      <c r="E45" s="39"/>
      <c r="F45" s="39"/>
      <c r="G45" s="39"/>
      <c r="H45" s="39"/>
      <c r="I45" s="39"/>
      <c r="J45" s="39"/>
      <c r="K45" s="21"/>
      <c r="L45" s="39"/>
      <c r="M45" s="39"/>
      <c r="N45" s="39"/>
      <c r="O45" s="39"/>
      <c r="P45" s="102"/>
      <c r="Q45" s="39"/>
      <c r="R45" s="39"/>
      <c r="S45" s="39"/>
      <c r="T45" s="39"/>
      <c r="U45" s="39"/>
      <c r="V45" s="39"/>
      <c r="W45" s="39"/>
      <c r="X45" s="39"/>
      <c r="Y45" s="39"/>
      <c r="Z45" s="21"/>
      <c r="AA45" s="39"/>
      <c r="AB45" s="39"/>
      <c r="AC45" s="39"/>
      <c r="AD45" s="39"/>
      <c r="AE45" s="39"/>
      <c r="AF45" s="39"/>
    </row>
    <row r="46" spans="2:32" x14ac:dyDescent="0.25">
      <c r="B46" s="87"/>
      <c r="C46" s="4" t="str">
        <v>Gnar</v>
      </c>
      <c r="D46" s="39"/>
      <c r="E46" s="39"/>
      <c r="F46" s="39"/>
      <c r="G46" s="39"/>
      <c r="H46" s="39"/>
      <c r="I46" s="39"/>
      <c r="J46" s="39"/>
      <c r="K46" s="21"/>
      <c r="L46" s="39"/>
      <c r="M46" s="39"/>
      <c r="N46" s="39"/>
      <c r="O46" s="39"/>
      <c r="P46" s="102"/>
      <c r="Q46" s="39"/>
      <c r="R46" s="39"/>
      <c r="S46" s="21"/>
      <c r="T46" s="21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2:32" ht="15.75" thickBot="1" x14ac:dyDescent="0.3">
      <c r="B47" s="86"/>
      <c r="C47" s="6" t="str">
        <v>Ziggs</v>
      </c>
      <c r="D47" s="59"/>
      <c r="E47" s="59"/>
      <c r="F47" s="59"/>
      <c r="G47" s="59"/>
      <c r="H47" s="59"/>
      <c r="I47" s="59"/>
      <c r="J47" s="59"/>
      <c r="K47" s="36"/>
      <c r="L47" s="59"/>
      <c r="M47" s="59"/>
      <c r="N47" s="59"/>
      <c r="O47" s="59"/>
      <c r="P47" s="102"/>
      <c r="Q47" s="59"/>
      <c r="R47" s="59"/>
      <c r="S47" s="59"/>
      <c r="T47" s="59"/>
      <c r="U47" s="59"/>
      <c r="V47" s="59"/>
      <c r="W47" s="36"/>
      <c r="X47" s="59"/>
      <c r="Y47" s="59"/>
      <c r="Z47" s="59"/>
      <c r="AA47" s="59"/>
      <c r="AB47" s="59"/>
      <c r="AC47" s="59"/>
      <c r="AD47" s="59"/>
      <c r="AE47" s="59"/>
      <c r="AF47" s="59"/>
    </row>
    <row r="48" spans="2:32" x14ac:dyDescent="0.25">
      <c r="B48" s="40"/>
      <c r="C48" s="5" t="str">
        <v>Tham Kench</v>
      </c>
      <c r="D48" s="39"/>
      <c r="E48" s="60"/>
      <c r="F48" s="60"/>
      <c r="G48" s="60"/>
      <c r="H48" s="60"/>
      <c r="I48" s="60"/>
      <c r="J48" s="60"/>
      <c r="K48" s="60"/>
      <c r="L48" s="22"/>
      <c r="M48" s="60"/>
      <c r="N48" s="60"/>
      <c r="O48" s="60"/>
      <c r="P48" s="102"/>
      <c r="Q48" s="22"/>
      <c r="R48" s="60"/>
      <c r="S48" s="60"/>
      <c r="T48" s="60"/>
      <c r="U48" s="60"/>
      <c r="V48" s="60"/>
      <c r="W48" s="60"/>
      <c r="X48" s="60"/>
      <c r="Y48" s="60"/>
      <c r="Z48" s="39"/>
      <c r="AA48" s="60"/>
      <c r="AB48" s="60"/>
      <c r="AC48" s="60"/>
      <c r="AD48" s="60"/>
      <c r="AE48" s="60"/>
      <c r="AF48" s="60"/>
    </row>
    <row r="49" spans="2:32" x14ac:dyDescent="0.25">
      <c r="B49" s="39"/>
      <c r="C49" s="4" t="str">
        <v>Akali</v>
      </c>
      <c r="D49" s="60"/>
      <c r="E49" s="39"/>
      <c r="F49" s="39"/>
      <c r="G49" s="39"/>
      <c r="H49" s="39"/>
      <c r="I49" s="39"/>
      <c r="J49" s="39"/>
      <c r="K49" s="39"/>
      <c r="L49" s="22"/>
      <c r="M49" s="39"/>
      <c r="N49" s="39"/>
      <c r="O49" s="39"/>
      <c r="P49" s="102"/>
      <c r="Q49" s="39"/>
      <c r="R49" s="60"/>
      <c r="S49" s="39"/>
      <c r="T49" s="39"/>
      <c r="U49" s="39"/>
      <c r="V49" s="39"/>
      <c r="W49" s="39"/>
      <c r="X49" s="39"/>
      <c r="Y49" s="39"/>
      <c r="Z49" s="22"/>
      <c r="AA49" s="60"/>
      <c r="AB49" s="39"/>
      <c r="AC49" s="39"/>
      <c r="AD49" s="39"/>
      <c r="AE49" s="39"/>
      <c r="AF49" s="39"/>
    </row>
    <row r="50" spans="2:32" x14ac:dyDescent="0.25">
      <c r="B50" s="39"/>
      <c r="C50" s="4" t="str">
        <v>Pantheon</v>
      </c>
      <c r="D50" s="39"/>
      <c r="E50" s="39"/>
      <c r="F50" s="39"/>
      <c r="G50" s="39"/>
      <c r="H50" s="39"/>
      <c r="I50" s="39"/>
      <c r="J50" s="39"/>
      <c r="K50" s="39"/>
      <c r="L50" s="22"/>
      <c r="M50" s="39"/>
      <c r="N50" s="39"/>
      <c r="O50" s="39"/>
      <c r="P50" s="102"/>
      <c r="Q50" s="39"/>
      <c r="R50" s="22"/>
      <c r="S50" s="39"/>
      <c r="T50" s="39"/>
      <c r="U50" s="39"/>
      <c r="V50" s="39"/>
      <c r="W50" s="39"/>
      <c r="X50" s="39"/>
      <c r="Y50" s="39"/>
      <c r="Z50" s="39"/>
      <c r="AA50" s="22"/>
      <c r="AB50" s="39"/>
      <c r="AC50" s="39"/>
      <c r="AD50" s="39"/>
      <c r="AE50" s="39"/>
      <c r="AF50" s="39"/>
    </row>
    <row r="51" spans="2:32" ht="15.75" thickBot="1" x14ac:dyDescent="0.3">
      <c r="B51" s="88"/>
      <c r="C51" s="4" t="str">
        <v>Morgana</v>
      </c>
      <c r="D51" s="59"/>
      <c r="E51" s="59"/>
      <c r="F51" s="59"/>
      <c r="G51" s="59"/>
      <c r="H51" s="59"/>
      <c r="I51" s="59"/>
      <c r="J51" s="59"/>
      <c r="K51" s="59"/>
      <c r="L51" s="23"/>
      <c r="M51" s="59"/>
      <c r="N51" s="59"/>
      <c r="O51" s="59"/>
      <c r="P51" s="102"/>
      <c r="Q51" s="59"/>
      <c r="R51" s="59"/>
      <c r="S51" s="59"/>
      <c r="T51" s="59"/>
      <c r="U51" s="59"/>
      <c r="V51" s="59"/>
      <c r="W51" s="23"/>
      <c r="X51" s="59"/>
      <c r="Y51" s="59"/>
      <c r="Z51" s="59"/>
      <c r="AA51" s="59"/>
      <c r="AB51" s="59"/>
      <c r="AC51" s="59"/>
      <c r="AD51" s="59"/>
      <c r="AE51" s="59"/>
      <c r="AF51" s="59"/>
    </row>
    <row r="52" spans="2:32" x14ac:dyDescent="0.25">
      <c r="B52" s="39"/>
      <c r="C52" s="5" t="str">
        <v>Amumu</v>
      </c>
      <c r="D52" s="60"/>
      <c r="E52" s="60"/>
      <c r="F52" s="60"/>
      <c r="G52" s="60"/>
      <c r="H52" s="60"/>
      <c r="I52" s="60"/>
      <c r="J52" s="60"/>
      <c r="K52" s="60"/>
      <c r="L52" s="40" t="s">
        <v>114</v>
      </c>
      <c r="M52" s="60"/>
      <c r="N52" s="60"/>
      <c r="O52" s="60"/>
      <c r="P52" s="102"/>
      <c r="Q52" s="60"/>
      <c r="R52" s="60"/>
      <c r="S52" s="60"/>
      <c r="T52" s="60"/>
      <c r="U52" s="60"/>
      <c r="V52" s="60"/>
      <c r="W52" s="66" t="s">
        <v>114</v>
      </c>
      <c r="X52" s="60"/>
      <c r="Y52" s="60"/>
      <c r="Z52" s="60"/>
      <c r="AA52" s="60"/>
      <c r="AB52" s="60"/>
      <c r="AC52" s="60"/>
      <c r="AD52" s="60"/>
      <c r="AE52" s="60"/>
      <c r="AF52" s="60"/>
    </row>
    <row r="53" spans="2:32" x14ac:dyDescent="0.25">
      <c r="B53" s="39"/>
      <c r="C53" s="4" t="str">
        <v>Zac</v>
      </c>
      <c r="D53" s="39"/>
      <c r="E53" s="39"/>
      <c r="F53" s="39"/>
      <c r="G53" s="39"/>
      <c r="H53" s="39"/>
      <c r="I53" s="39"/>
      <c r="J53" s="39"/>
      <c r="K53" s="39"/>
      <c r="L53" s="39" t="s">
        <v>114</v>
      </c>
      <c r="M53" s="39"/>
      <c r="N53" s="39"/>
      <c r="O53" s="39"/>
      <c r="P53" s="102"/>
      <c r="Q53" s="66" t="s">
        <v>114</v>
      </c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2:32" ht="15.75" thickBot="1" x14ac:dyDescent="0.3">
      <c r="B54" s="86"/>
      <c r="C54" s="2" t="str">
        <v>Nafiri</v>
      </c>
      <c r="D54" s="59"/>
      <c r="E54" s="59"/>
      <c r="F54" s="59"/>
      <c r="G54" s="59"/>
      <c r="H54" s="59"/>
      <c r="I54" s="59"/>
      <c r="J54" s="59"/>
      <c r="K54" s="59"/>
      <c r="L54" s="59" t="s">
        <v>114</v>
      </c>
      <c r="M54" s="59"/>
      <c r="N54" s="59"/>
      <c r="O54" s="59"/>
      <c r="P54" s="102"/>
      <c r="Q54" s="59"/>
      <c r="R54" s="59"/>
      <c r="S54" s="59"/>
      <c r="T54" s="59"/>
      <c r="U54" s="59"/>
      <c r="V54" s="59"/>
      <c r="W54" s="59"/>
      <c r="X54" s="67" t="s">
        <v>114</v>
      </c>
      <c r="Y54" s="59"/>
      <c r="Z54" s="59"/>
      <c r="AA54" s="59"/>
      <c r="AB54" s="59"/>
      <c r="AC54" s="59"/>
      <c r="AD54" s="59"/>
      <c r="AE54" s="59"/>
      <c r="AF54" s="59"/>
    </row>
    <row r="55" spans="2:32" x14ac:dyDescent="0.25">
      <c r="B55" s="40"/>
      <c r="C55" s="5" t="str">
        <v>Galio</v>
      </c>
      <c r="D55" s="39"/>
      <c r="E55" s="60"/>
      <c r="F55" s="60"/>
      <c r="G55" s="60"/>
      <c r="H55" s="60"/>
      <c r="I55" s="60"/>
      <c r="J55" s="60"/>
      <c r="K55" s="60"/>
      <c r="L55" s="39"/>
      <c r="M55" s="8"/>
      <c r="N55" s="60"/>
      <c r="O55" s="60"/>
      <c r="P55" s="102"/>
      <c r="Q55" s="60"/>
      <c r="R55" s="8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</row>
    <row r="56" spans="2:32" x14ac:dyDescent="0.25">
      <c r="B56" s="39"/>
      <c r="C56" s="4" t="str">
        <v>Alistar</v>
      </c>
      <c r="D56" s="39"/>
      <c r="E56" s="39"/>
      <c r="F56" s="39"/>
      <c r="G56" s="39"/>
      <c r="H56" s="39"/>
      <c r="I56" s="39"/>
      <c r="J56" s="39"/>
      <c r="K56" s="39"/>
      <c r="L56" s="39"/>
      <c r="M56" s="8"/>
      <c r="N56" s="39"/>
      <c r="O56" s="39"/>
      <c r="P56" s="102"/>
      <c r="Q56" s="8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2:32" x14ac:dyDescent="0.25">
      <c r="B57" s="4"/>
      <c r="C57" s="4" t="str">
        <v>Neeko</v>
      </c>
      <c r="D57" s="39"/>
      <c r="E57" s="39"/>
      <c r="F57" s="39"/>
      <c r="G57" s="39"/>
      <c r="H57" s="39"/>
      <c r="I57" s="39"/>
      <c r="J57" s="39"/>
      <c r="K57" s="39"/>
      <c r="L57" s="39"/>
      <c r="M57" s="8"/>
      <c r="N57" s="39"/>
      <c r="O57" s="39"/>
      <c r="P57" s="102"/>
      <c r="Q57" s="39"/>
      <c r="R57" s="39"/>
      <c r="S57" s="8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2:32" x14ac:dyDescent="0.25">
      <c r="B58" s="39"/>
      <c r="C58" s="4" t="str">
        <v>Nunu &amp; Willump</v>
      </c>
      <c r="D58" s="60"/>
      <c r="E58" s="39"/>
      <c r="F58" s="39"/>
      <c r="G58" s="39"/>
      <c r="H58" s="39"/>
      <c r="I58" s="39"/>
      <c r="J58" s="39"/>
      <c r="K58" s="39"/>
      <c r="L58" s="60"/>
      <c r="M58" s="8"/>
      <c r="N58" s="39"/>
      <c r="O58" s="39"/>
      <c r="P58" s="102"/>
      <c r="Q58" s="39"/>
      <c r="R58" s="39"/>
      <c r="S58" s="60"/>
      <c r="T58" s="39"/>
      <c r="U58" s="39"/>
      <c r="V58" s="8"/>
      <c r="W58" s="39"/>
      <c r="X58" s="39"/>
      <c r="Y58" s="8"/>
      <c r="Z58" s="39"/>
      <c r="AA58" s="60"/>
      <c r="AB58" s="39"/>
      <c r="AC58" s="39"/>
      <c r="AD58" s="39"/>
      <c r="AE58" s="39"/>
      <c r="AF58" s="39"/>
    </row>
    <row r="59" spans="2:32" ht="15.75" thickBot="1" x14ac:dyDescent="0.3">
      <c r="B59" s="86"/>
      <c r="C59" s="2" t="str">
        <v>Ornn</v>
      </c>
      <c r="D59" s="59"/>
      <c r="E59" s="59"/>
      <c r="F59" s="59"/>
      <c r="G59" s="59"/>
      <c r="H59" s="59"/>
      <c r="I59" s="59"/>
      <c r="J59" s="59"/>
      <c r="K59" s="59"/>
      <c r="L59" s="59"/>
      <c r="M59" s="11"/>
      <c r="N59" s="59"/>
      <c r="O59" s="59"/>
      <c r="P59" s="102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11"/>
      <c r="AB59" s="59"/>
      <c r="AC59" s="59"/>
      <c r="AD59" s="59"/>
      <c r="AE59" s="59"/>
      <c r="AF59" s="59"/>
    </row>
    <row r="60" spans="2:32" x14ac:dyDescent="0.25">
      <c r="B60" s="40"/>
      <c r="C60" s="5" t="str">
        <v>Diana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9"/>
      <c r="O60" s="60"/>
      <c r="P60" s="102"/>
      <c r="Q60" s="60"/>
      <c r="R60" s="60"/>
      <c r="S60" s="60"/>
      <c r="T60" s="60"/>
      <c r="U60" s="60"/>
      <c r="V60" s="60"/>
      <c r="W60" s="60"/>
      <c r="X60" s="60"/>
      <c r="Y60" s="60"/>
      <c r="Z60" s="9"/>
      <c r="AA60" s="60"/>
      <c r="AB60" s="60"/>
      <c r="AC60" s="60"/>
      <c r="AD60" s="60"/>
      <c r="AE60" s="60"/>
      <c r="AF60" s="60"/>
    </row>
    <row r="61" spans="2:32" x14ac:dyDescent="0.25">
      <c r="B61" s="39"/>
      <c r="C61" s="4" t="str">
        <v>Xhin Zao</v>
      </c>
      <c r="D61" s="60"/>
      <c r="E61" s="39"/>
      <c r="F61" s="39"/>
      <c r="G61" s="39"/>
      <c r="H61" s="39"/>
      <c r="I61" s="39"/>
      <c r="J61" s="39"/>
      <c r="K61" s="39"/>
      <c r="L61" s="39"/>
      <c r="M61" s="60"/>
      <c r="N61" s="9"/>
      <c r="O61" s="39"/>
      <c r="P61" s="102"/>
      <c r="Q61" s="60"/>
      <c r="R61" s="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2:32" x14ac:dyDescent="0.25">
      <c r="B62" s="4"/>
      <c r="C62" s="4" t="str">
        <v>Tristana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9"/>
      <c r="O62" s="39"/>
      <c r="P62" s="102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9"/>
      <c r="AD62" s="39"/>
      <c r="AE62" s="39"/>
      <c r="AF62" s="39"/>
    </row>
    <row r="63" spans="2:32" x14ac:dyDescent="0.25">
      <c r="B63" s="39"/>
      <c r="C63" s="4" t="str">
        <v>Sejuani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9"/>
      <c r="O63" s="39"/>
      <c r="P63" s="102"/>
      <c r="Q63" s="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2:32" ht="15.75" thickBot="1" x14ac:dyDescent="0.3">
      <c r="B64" s="86"/>
      <c r="C64" s="4" t="str">
        <v>Jinx</v>
      </c>
      <c r="D64" s="68"/>
      <c r="E64" s="59"/>
      <c r="F64" s="59"/>
      <c r="G64" s="59"/>
      <c r="H64" s="59"/>
      <c r="I64" s="59"/>
      <c r="J64" s="59"/>
      <c r="K64" s="59"/>
      <c r="L64" s="59"/>
      <c r="M64" s="59"/>
      <c r="N64" s="9"/>
      <c r="O64" s="59"/>
      <c r="P64" s="102"/>
      <c r="Q64" s="59"/>
      <c r="R64" s="3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15"/>
      <c r="AD64" s="59"/>
      <c r="AE64" s="59"/>
      <c r="AF64" s="59"/>
    </row>
    <row r="65" spans="2:33" ht="15.75" thickBot="1" x14ac:dyDescent="0.3">
      <c r="B65" s="40"/>
      <c r="C65" s="1" t="str">
        <v>Sona</v>
      </c>
      <c r="D65" s="55"/>
      <c r="E65" s="60"/>
      <c r="F65" s="60"/>
      <c r="G65" s="60"/>
      <c r="H65" s="60"/>
      <c r="I65" s="60"/>
      <c r="J65" s="60"/>
      <c r="K65" s="60"/>
      <c r="L65" s="60"/>
      <c r="M65" s="60"/>
      <c r="N65" s="59"/>
      <c r="O65" s="24"/>
      <c r="P65" s="102"/>
      <c r="Q65" s="60"/>
      <c r="R65" s="40"/>
      <c r="S65" s="60"/>
      <c r="T65" s="60"/>
      <c r="U65" s="60"/>
      <c r="V65" s="60"/>
      <c r="W65" s="60"/>
      <c r="X65" s="60"/>
      <c r="Y65" s="24"/>
      <c r="Z65" s="60"/>
      <c r="AA65" s="60"/>
      <c r="AB65" s="60"/>
      <c r="AC65" s="60"/>
      <c r="AD65" s="60"/>
      <c r="AE65" s="60"/>
      <c r="AF65" s="60"/>
    </row>
    <row r="66" spans="2:33" x14ac:dyDescent="0.25">
      <c r="B66" s="3"/>
      <c r="C66" s="4" t="str">
        <v>Sett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60"/>
      <c r="O66" s="24"/>
      <c r="P66" s="102"/>
      <c r="Q66" s="39"/>
      <c r="R66" s="60"/>
      <c r="S66" s="39"/>
      <c r="T66" s="39"/>
      <c r="U66" s="39"/>
      <c r="V66" s="39"/>
      <c r="W66" s="39"/>
      <c r="X66" s="39"/>
      <c r="Y66" s="39"/>
      <c r="Z66" s="68"/>
      <c r="AA66" s="24"/>
      <c r="AB66" s="39"/>
      <c r="AC66" s="60"/>
      <c r="AD66" s="39"/>
      <c r="AE66" s="39"/>
      <c r="AF66" s="39"/>
    </row>
    <row r="67" spans="2:33" x14ac:dyDescent="0.25">
      <c r="B67" s="39"/>
      <c r="C67" s="4" t="str">
        <v xml:space="preserve">Volibear  </v>
      </c>
      <c r="D67" s="68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24"/>
      <c r="P67" s="102"/>
      <c r="Q67" s="24"/>
      <c r="R67" s="39"/>
      <c r="S67" s="39"/>
      <c r="T67" s="39"/>
      <c r="U67" s="39"/>
      <c r="V67" s="39"/>
      <c r="W67" s="39"/>
      <c r="X67" s="39"/>
      <c r="Y67" s="89"/>
      <c r="Z67" s="39"/>
      <c r="AA67" s="90"/>
      <c r="AB67" s="39"/>
      <c r="AC67" s="39"/>
      <c r="AD67" s="39"/>
      <c r="AE67" s="39"/>
      <c r="AF67" s="39"/>
    </row>
    <row r="68" spans="2:33" x14ac:dyDescent="0.25">
      <c r="B68" s="39"/>
      <c r="C68" s="4" t="str">
        <v>Yunara</v>
      </c>
      <c r="D68" s="39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24"/>
      <c r="P68" s="102"/>
      <c r="Q68" s="39"/>
      <c r="R68" s="39"/>
      <c r="S68" s="39"/>
      <c r="T68" s="39"/>
      <c r="U68" s="24"/>
      <c r="V68" s="39"/>
      <c r="W68" s="39"/>
      <c r="X68" s="39"/>
      <c r="Y68" s="39"/>
      <c r="Z68" s="60"/>
      <c r="AA68" s="39"/>
      <c r="AB68" s="39"/>
      <c r="AC68" s="39"/>
      <c r="AD68" s="39"/>
      <c r="AE68" s="39"/>
      <c r="AF68" s="39"/>
    </row>
    <row r="69" spans="2:33" ht="15.75" thickBot="1" x14ac:dyDescent="0.3">
      <c r="B69" s="86"/>
      <c r="C69" s="6" t="str">
        <v>Ahri</v>
      </c>
      <c r="D69" s="68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25"/>
      <c r="P69" s="102"/>
      <c r="Q69" s="68"/>
      <c r="R69" s="68"/>
      <c r="S69" s="68"/>
      <c r="T69" s="68"/>
      <c r="U69" s="68"/>
      <c r="V69" s="68"/>
      <c r="W69" s="68"/>
      <c r="X69" s="68"/>
      <c r="Y69" s="39"/>
      <c r="Z69" s="24"/>
      <c r="AA69" s="68"/>
      <c r="AB69" s="68"/>
      <c r="AC69" s="68"/>
      <c r="AD69" s="54"/>
      <c r="AE69" s="54"/>
      <c r="AF69" s="54"/>
    </row>
    <row r="70" spans="2:33" ht="15.75" thickBot="1" x14ac:dyDescent="0.3">
      <c r="B70" s="7"/>
      <c r="C70" s="7" t="s">
        <v>88</v>
      </c>
      <c r="D70" s="7"/>
      <c r="E70" s="37"/>
      <c r="F70" s="7"/>
      <c r="G70" s="37"/>
      <c r="H70" s="37"/>
      <c r="I70" s="7"/>
      <c r="J70" s="7"/>
      <c r="K70" s="7"/>
      <c r="L70" s="7"/>
      <c r="M70" s="7"/>
      <c r="N70" s="7"/>
      <c r="O70" s="37"/>
      <c r="P70" s="102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37"/>
    </row>
    <row r="71" spans="2:33" ht="15.75" thickBot="1" x14ac:dyDescent="0.3">
      <c r="B71" s="7" t="s">
        <v>95</v>
      </c>
      <c r="D71" s="41">
        <v>5</v>
      </c>
      <c r="E71" s="41">
        <v>8</v>
      </c>
      <c r="F71" s="41">
        <v>4</v>
      </c>
      <c r="G71" s="41">
        <v>8</v>
      </c>
      <c r="H71" s="41">
        <v>6</v>
      </c>
      <c r="I71" s="41">
        <v>5</v>
      </c>
      <c r="J71" s="41">
        <v>3</v>
      </c>
      <c r="K71" s="41">
        <v>5</v>
      </c>
      <c r="L71" s="41">
        <v>4</v>
      </c>
      <c r="M71" s="41">
        <v>5</v>
      </c>
      <c r="N71" s="41">
        <v>5</v>
      </c>
      <c r="O71" s="41">
        <v>5</v>
      </c>
      <c r="P71" s="102"/>
      <c r="Q71" s="41">
        <v>8</v>
      </c>
      <c r="R71" s="41">
        <v>6</v>
      </c>
      <c r="S71" s="41">
        <v>5</v>
      </c>
      <c r="T71" s="41">
        <v>4</v>
      </c>
      <c r="U71" s="41">
        <v>6</v>
      </c>
      <c r="V71" s="41">
        <v>6</v>
      </c>
      <c r="W71" s="41">
        <v>6</v>
      </c>
      <c r="X71" s="41">
        <v>3</v>
      </c>
      <c r="Y71" s="41">
        <v>5</v>
      </c>
      <c r="Z71" s="41">
        <v>6</v>
      </c>
      <c r="AA71" s="41">
        <v>5</v>
      </c>
      <c r="AB71" s="41">
        <v>3</v>
      </c>
      <c r="AC71" s="41">
        <v>4</v>
      </c>
      <c r="AD71" s="41">
        <v>1</v>
      </c>
      <c r="AE71" s="41">
        <v>1</v>
      </c>
      <c r="AF71" s="41">
        <v>1</v>
      </c>
    </row>
    <row r="72" spans="2:33" ht="15.75" thickBot="1" x14ac:dyDescent="0.3">
      <c r="B72" s="7" t="s">
        <v>96</v>
      </c>
      <c r="D72" s="41"/>
      <c r="E72" s="41">
        <v>1</v>
      </c>
      <c r="F72" s="41"/>
      <c r="G72" s="41">
        <v>1</v>
      </c>
      <c r="H72" s="41">
        <v>1</v>
      </c>
      <c r="I72" s="41"/>
      <c r="J72" s="41"/>
      <c r="K72" s="41"/>
      <c r="L72" s="41"/>
      <c r="M72" s="41"/>
      <c r="N72" s="41"/>
      <c r="O72" s="41">
        <v>1</v>
      </c>
      <c r="P72" s="102"/>
      <c r="Q72" s="41">
        <v>1</v>
      </c>
      <c r="R72" s="41"/>
      <c r="S72" s="41"/>
      <c r="T72" s="41"/>
      <c r="U72" s="41"/>
      <c r="V72" s="41"/>
      <c r="W72" s="41">
        <v>1</v>
      </c>
      <c r="X72" s="41">
        <v>1</v>
      </c>
      <c r="Y72" s="41"/>
      <c r="Z72" s="41"/>
      <c r="AA72" s="41"/>
      <c r="AB72" s="41"/>
      <c r="AC72" s="41"/>
      <c r="AD72" s="41"/>
      <c r="AE72" s="41"/>
      <c r="AF72" s="41"/>
    </row>
    <row r="73" spans="2:33" ht="15.75" thickBot="1" x14ac:dyDescent="0.3">
      <c r="D73" s="7" t="s">
        <v>0</v>
      </c>
      <c r="E73" s="7" t="s">
        <v>1</v>
      </c>
      <c r="F73" s="7" t="s">
        <v>2</v>
      </c>
      <c r="G73" s="7" t="s">
        <v>44</v>
      </c>
      <c r="H73" s="7" t="s">
        <v>90</v>
      </c>
      <c r="I73" s="7" t="s">
        <v>3</v>
      </c>
      <c r="J73" s="7" t="s">
        <v>91</v>
      </c>
      <c r="K73" s="7" t="s">
        <v>4</v>
      </c>
      <c r="L73" s="7" t="s">
        <v>5</v>
      </c>
      <c r="M73" s="7" t="s">
        <v>6</v>
      </c>
      <c r="N73" s="7" t="s">
        <v>75</v>
      </c>
      <c r="O73" s="7" t="s">
        <v>7</v>
      </c>
      <c r="P73" s="102"/>
      <c r="Q73" s="7" t="s">
        <v>9</v>
      </c>
      <c r="R73" s="7" t="s">
        <v>10</v>
      </c>
      <c r="S73" s="7" t="s">
        <v>11</v>
      </c>
      <c r="T73" s="7" t="s">
        <v>89</v>
      </c>
      <c r="U73" s="7" t="s">
        <v>12</v>
      </c>
      <c r="V73" s="7" t="s">
        <v>13</v>
      </c>
      <c r="W73" s="7" t="s">
        <v>14</v>
      </c>
      <c r="X73" s="7" t="s">
        <v>15</v>
      </c>
      <c r="Y73" s="7" t="s">
        <v>16</v>
      </c>
      <c r="Z73" s="7" t="s">
        <v>17</v>
      </c>
      <c r="AA73" s="7" t="s">
        <v>65</v>
      </c>
      <c r="AB73" s="7" t="s">
        <v>85</v>
      </c>
      <c r="AC73" s="7" t="s">
        <v>86</v>
      </c>
      <c r="AD73" s="7" t="s">
        <v>87</v>
      </c>
      <c r="AE73" s="7" t="s">
        <v>94</v>
      </c>
      <c r="AF73" s="7" t="s">
        <v>8</v>
      </c>
    </row>
    <row r="74" spans="2:33" x14ac:dyDescent="0.25">
      <c r="P74" s="102"/>
    </row>
    <row r="75" spans="2:33" ht="15.75" thickBot="1" x14ac:dyDescent="0.3">
      <c r="P75" s="102"/>
    </row>
    <row r="76" spans="2:33" ht="15.75" thickBot="1" x14ac:dyDescent="0.3">
      <c r="B76" s="7" t="s">
        <v>106</v>
      </c>
      <c r="C76" s="16"/>
      <c r="D76" s="95" t="s">
        <v>97</v>
      </c>
      <c r="E76" s="92" t="s">
        <v>121</v>
      </c>
      <c r="F76" s="92" t="s">
        <v>121</v>
      </c>
      <c r="G76" s="92" t="s">
        <v>121</v>
      </c>
      <c r="H76" s="92" t="s">
        <v>121</v>
      </c>
      <c r="I76" s="92" t="s">
        <v>121</v>
      </c>
      <c r="J76" s="95" t="s">
        <v>97</v>
      </c>
      <c r="K76" s="92" t="s">
        <v>121</v>
      </c>
      <c r="L76" s="92" t="s">
        <v>121</v>
      </c>
      <c r="M76" s="92" t="s">
        <v>121</v>
      </c>
      <c r="N76" s="92" t="s">
        <v>121</v>
      </c>
      <c r="O76" s="92" t="s">
        <v>121</v>
      </c>
      <c r="P76" s="102"/>
      <c r="Q76" s="92" t="s">
        <v>121</v>
      </c>
      <c r="R76" s="92" t="s">
        <v>121</v>
      </c>
      <c r="S76" s="95" t="s">
        <v>97</v>
      </c>
      <c r="T76" s="95" t="s">
        <v>97</v>
      </c>
      <c r="U76" s="92" t="s">
        <v>121</v>
      </c>
      <c r="V76" s="92" t="s">
        <v>121</v>
      </c>
      <c r="W76" s="92" t="s">
        <v>121</v>
      </c>
      <c r="X76" s="92" t="s">
        <v>121</v>
      </c>
      <c r="Y76" s="92" t="s">
        <v>121</v>
      </c>
      <c r="Z76" s="92" t="s">
        <v>121</v>
      </c>
      <c r="AA76" s="92" t="s">
        <v>121</v>
      </c>
      <c r="AB76" s="95" t="s">
        <v>97</v>
      </c>
      <c r="AC76" s="92" t="s">
        <v>121</v>
      </c>
      <c r="AD76" s="95" t="s">
        <v>97</v>
      </c>
      <c r="AE76" s="95" t="s">
        <v>97</v>
      </c>
      <c r="AF76" s="95" t="s">
        <v>97</v>
      </c>
      <c r="AG76" s="16"/>
    </row>
    <row r="77" spans="2:33" ht="15.75" thickBot="1" x14ac:dyDescent="0.3">
      <c r="B77" s="7" t="s">
        <v>107</v>
      </c>
      <c r="C77" s="16"/>
      <c r="D77" s="41"/>
      <c r="E77" s="92" t="s">
        <v>121</v>
      </c>
      <c r="F77" s="92" t="s">
        <v>121</v>
      </c>
      <c r="G77" s="92" t="s">
        <v>121</v>
      </c>
      <c r="H77" s="92" t="s">
        <v>121</v>
      </c>
      <c r="I77" s="92" t="s">
        <v>121</v>
      </c>
      <c r="J77" s="41"/>
      <c r="K77" s="92" t="s">
        <v>121</v>
      </c>
      <c r="L77" s="95" t="s">
        <v>97</v>
      </c>
      <c r="M77" s="95" t="s">
        <v>97</v>
      </c>
      <c r="N77" s="92" t="s">
        <v>121</v>
      </c>
      <c r="O77" s="92" t="s">
        <v>121</v>
      </c>
      <c r="P77" s="102"/>
      <c r="Q77" s="94" t="s">
        <v>121</v>
      </c>
      <c r="R77" s="94" t="s">
        <v>121</v>
      </c>
      <c r="S77" s="41"/>
      <c r="T77" s="41"/>
      <c r="U77" s="92" t="s">
        <v>121</v>
      </c>
      <c r="V77" s="92" t="s">
        <v>121</v>
      </c>
      <c r="W77" s="92" t="s">
        <v>121</v>
      </c>
      <c r="X77" s="92" t="s">
        <v>121</v>
      </c>
      <c r="Y77" s="92" t="s">
        <v>121</v>
      </c>
      <c r="Z77" s="93" t="s">
        <v>121</v>
      </c>
      <c r="AA77" s="95" t="s">
        <v>97</v>
      </c>
      <c r="AB77" s="41"/>
      <c r="AC77" s="96" t="s">
        <v>97</v>
      </c>
      <c r="AD77" s="41"/>
      <c r="AE77" s="41"/>
      <c r="AF77" s="41"/>
      <c r="AG77" s="16"/>
    </row>
    <row r="78" spans="2:33" ht="15.75" thickBot="1" x14ac:dyDescent="0.3">
      <c r="B78" s="7" t="s">
        <v>122</v>
      </c>
      <c r="C78" s="16"/>
      <c r="D78" s="41"/>
      <c r="E78" s="41" t="s">
        <v>104</v>
      </c>
      <c r="F78" s="41" t="s">
        <v>102</v>
      </c>
      <c r="G78" s="41" t="s">
        <v>101</v>
      </c>
      <c r="H78" s="41" t="s">
        <v>123</v>
      </c>
      <c r="I78" s="41" t="s">
        <v>128</v>
      </c>
      <c r="J78" s="41"/>
      <c r="K78" s="41" t="s">
        <v>98</v>
      </c>
      <c r="L78" s="41"/>
      <c r="M78" s="41"/>
      <c r="N78" s="41" t="s">
        <v>103</v>
      </c>
      <c r="O78" s="41" t="s">
        <v>99</v>
      </c>
      <c r="P78" s="102"/>
      <c r="Q78" s="41" t="s">
        <v>104</v>
      </c>
      <c r="R78" s="41" t="s">
        <v>100</v>
      </c>
      <c r="S78" s="41"/>
      <c r="T78" s="41"/>
      <c r="U78" s="41" t="s">
        <v>103</v>
      </c>
      <c r="V78" s="41" t="s">
        <v>98</v>
      </c>
      <c r="W78" s="41" t="s">
        <v>99</v>
      </c>
      <c r="X78" s="41" t="s">
        <v>102</v>
      </c>
      <c r="Y78" s="41" t="s">
        <v>101</v>
      </c>
      <c r="Z78" s="41" t="s">
        <v>123</v>
      </c>
      <c r="AA78" s="41"/>
      <c r="AB78" s="41"/>
      <c r="AC78" s="41"/>
      <c r="AD78" s="41"/>
      <c r="AE78" s="41"/>
      <c r="AF78" s="41"/>
      <c r="AG78" s="16"/>
    </row>
    <row r="79" spans="2:33" ht="15.75" thickBot="1" x14ac:dyDescent="0.3">
      <c r="C79" s="16"/>
      <c r="D79" s="98" t="s">
        <v>124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100"/>
      <c r="P79" s="102"/>
      <c r="Q79" s="98" t="s">
        <v>125</v>
      </c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100"/>
      <c r="AG79" s="16"/>
    </row>
    <row r="80" spans="2:33" x14ac:dyDescent="0.25"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</sheetData>
  <mergeCells count="6">
    <mergeCell ref="D3:O3"/>
    <mergeCell ref="Q3:AF3"/>
    <mergeCell ref="D2:AF2"/>
    <mergeCell ref="D79:O79"/>
    <mergeCell ref="Q79:AF79"/>
    <mergeCell ref="P3:P79"/>
  </mergeCells>
  <conditionalFormatting sqref="Q5:R5 T5:AF5 E5:O9 Q6:X6 Z6:AF6 Q7:AA7 AC7:AF7 Q8:U8 W8 Y8:AF8 R9:AC9 AE9:AF9 R10:AF10 D10:D17 F10:O17 Q11 S11:AF11 Q12:S12 U12:AF12 Q13:AB13 AD13:AF13 Q14:W14 Y14:AF14 Q15:AA15 AC15:AF15 Q16:T16 V16:AF16 Q17 S17:AF17 Q18:T18 V18:AF18 D18:E21 G18:O21 Q19:V19 X19:AF19 Q20:S20 U20:AF20 Q21:V22 X21:AF22 D22:F29 H22:O29 Q23:T23 V23:AF23 Q24:U24 W24:AF24 Q25:X25 Z25:AF25 Q26:T26 V26:AF26 Q27:S27 U27:Z27 AB27:AF27 Q28:AB28 AD28:AF28 R29:AF29 Q30:W30 Y30:AF30 I30:O34 D30:G35 Q31:R31 T31:AF31 Q32:T32 V32:AF32 Q33:U33 W33:AF33 Q34 S34:AF34 Q35:W35 Y35:AF35 J35:O39 R36:V36 X36:AF36 D36:H39 Q37:Y37 AA37:AF37 Q38:X38 Z38:AF38 Q39:AD39 AF39 Q40:Z40 AB40:AF40 D40:I42 K40:O42 Q41:U41 W41:AF41 Q42:Y42 AA42 AC42:AF42 Q43:U43 W43:AF43 D43:J47 L43:O47 Q44:R44 T44:AF44 Q45:Y45 AA45:AF45 Q46:R46 U46:AF46 Q47:V47 X47:AF47 R48:AF48 D48:K51 M48:O51 Q49:Y49 AA49:AF49 Q50 S50:Z50 AB50:AF50 Q51:V51 X51:AF51 D52:O54 Q52:AF54 Q55 S55:AF55 D55:L59 N55:O59 R56:AF56 Q57:R57 T57:AF57 Q58:U58 W58:X58 Z58:AF58 Q59:Z59 AB59:AF59 Q60:Y60 AA60:AF60 D60:M64 O60:O64 Q61 S61:AF61 Q62:AB62 AD62:AF62 R63:AF63 Q64:AB64 AD64:AF64 Q65:X65 Z65:AF65 D65:N69 Q66:Z66 AB66:AF66 R67:AF67 Q68:T68 V68:AF68 Q69:Y69 AA69:AF69">
    <cfRule type="cellIs" dxfId="9" priority="1" operator="equal">
      <formula>2</formula>
    </cfRule>
    <cfRule type="cellIs" dxfId="8" priority="2" operator="equal">
      <formula>3</formula>
    </cfRule>
    <cfRule type="cellIs" dxfId="7" priority="3" operator="equal">
      <formula>4</formula>
    </cfRule>
    <cfRule type="cellIs" dxfId="6" priority="4" operator="equal">
      <formula>5</formula>
    </cfRule>
    <cfRule type="cellIs" dxfId="5" priority="5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AC03-42F6-4CDA-9765-1967CBC7BF93}">
  <sheetPr codeName="Sheet3"/>
  <dimension ref="B1:AF98"/>
  <sheetViews>
    <sheetView tabSelected="1" zoomScale="67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26" sqref="L26"/>
    </sheetView>
  </sheetViews>
  <sheetFormatPr defaultRowHeight="15" x14ac:dyDescent="0.25"/>
  <cols>
    <col min="3" max="3" width="16.7109375" customWidth="1"/>
    <col min="4" max="4" width="10.5703125" customWidth="1"/>
    <col min="5" max="5" width="10.42578125" customWidth="1"/>
    <col min="6" max="6" width="11.5703125" customWidth="1"/>
    <col min="7" max="7" width="11.140625" customWidth="1"/>
    <col min="9" max="9" width="12" customWidth="1"/>
    <col min="10" max="11" width="9.5703125" customWidth="1"/>
    <col min="12" max="12" width="14.140625" customWidth="1"/>
    <col min="13" max="13" width="10.140625" customWidth="1"/>
    <col min="15" max="15" width="10.85546875" customWidth="1"/>
    <col min="19" max="19" width="11.42578125" customWidth="1"/>
    <col min="23" max="23" width="9.85546875" customWidth="1"/>
    <col min="24" max="24" width="10.42578125" customWidth="1"/>
    <col min="28" max="28" width="12.5703125" customWidth="1"/>
    <col min="31" max="31" width="13" customWidth="1"/>
    <col min="32" max="32" width="16.5703125" customWidth="1"/>
  </cols>
  <sheetData>
    <row r="1" spans="2:32" ht="15.75" thickBot="1" x14ac:dyDescent="0.3"/>
    <row r="2" spans="2:32" ht="15.75" thickBot="1" x14ac:dyDescent="0.3">
      <c r="D2" s="98" t="s">
        <v>18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100"/>
    </row>
    <row r="3" spans="2:32" ht="15.75" thickBot="1" x14ac:dyDescent="0.3">
      <c r="D3" s="98" t="s">
        <v>92</v>
      </c>
      <c r="E3" s="99"/>
      <c r="F3" s="99"/>
      <c r="G3" s="99"/>
      <c r="H3" s="99"/>
      <c r="I3" s="99"/>
      <c r="J3" s="99"/>
      <c r="K3" s="99"/>
      <c r="L3" s="99"/>
      <c r="M3" s="99"/>
      <c r="N3" s="99"/>
      <c r="O3" s="100"/>
      <c r="P3" s="106"/>
      <c r="Q3" s="98" t="s">
        <v>93</v>
      </c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100"/>
    </row>
    <row r="4" spans="2:32" ht="15.75" thickBot="1" x14ac:dyDescent="0.3">
      <c r="D4" s="41" t="s">
        <v>0</v>
      </c>
      <c r="E4" s="41" t="s">
        <v>1</v>
      </c>
      <c r="F4" s="41" t="s">
        <v>2</v>
      </c>
      <c r="G4" s="41" t="s">
        <v>44</v>
      </c>
      <c r="H4" s="41" t="s">
        <v>90</v>
      </c>
      <c r="I4" s="41" t="s">
        <v>3</v>
      </c>
      <c r="J4" s="41" t="s">
        <v>91</v>
      </c>
      <c r="K4" s="41" t="s">
        <v>4</v>
      </c>
      <c r="L4" s="41" t="s">
        <v>5</v>
      </c>
      <c r="M4" s="41" t="s">
        <v>6</v>
      </c>
      <c r="N4" s="41" t="s">
        <v>75</v>
      </c>
      <c r="O4" s="41" t="s">
        <v>7</v>
      </c>
      <c r="P4" s="107"/>
      <c r="Q4" s="41" t="s">
        <v>9</v>
      </c>
      <c r="R4" s="41" t="s">
        <v>10</v>
      </c>
      <c r="S4" s="41" t="s">
        <v>11</v>
      </c>
      <c r="T4" s="41" t="s">
        <v>89</v>
      </c>
      <c r="U4" s="41" t="s">
        <v>12</v>
      </c>
      <c r="V4" s="41" t="s">
        <v>13</v>
      </c>
      <c r="W4" s="41" t="s">
        <v>14</v>
      </c>
      <c r="X4" s="41" t="s">
        <v>15</v>
      </c>
      <c r="Y4" s="41" t="s">
        <v>16</v>
      </c>
      <c r="Z4" s="41" t="s">
        <v>17</v>
      </c>
      <c r="AA4" s="41" t="s">
        <v>65</v>
      </c>
      <c r="AB4" s="41" t="s">
        <v>85</v>
      </c>
      <c r="AC4" s="41" t="s">
        <v>86</v>
      </c>
      <c r="AD4" s="41" t="s">
        <v>87</v>
      </c>
      <c r="AE4" s="41" t="s">
        <v>94</v>
      </c>
      <c r="AF4" s="41" t="s">
        <v>8</v>
      </c>
    </row>
    <row r="5" spans="2:32" ht="15.75" thickBot="1" x14ac:dyDescent="0.3">
      <c r="B5" t="s">
        <v>119</v>
      </c>
      <c r="C5" s="5" t="s">
        <v>20</v>
      </c>
      <c r="D5" s="69">
        <v>2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107"/>
      <c r="Q5" s="59"/>
      <c r="R5" s="54"/>
      <c r="S5" s="80">
        <f>D5</f>
        <v>2</v>
      </c>
      <c r="T5" s="55"/>
      <c r="U5" s="55"/>
      <c r="V5" s="55"/>
      <c r="W5" s="55"/>
      <c r="X5" s="55"/>
      <c r="Y5" s="55"/>
      <c r="Z5" s="55"/>
      <c r="AA5" s="55"/>
      <c r="AB5" s="55"/>
      <c r="AC5" s="55"/>
      <c r="AD5" s="59"/>
      <c r="AE5" s="40"/>
      <c r="AF5" s="40"/>
    </row>
    <row r="6" spans="2:32" x14ac:dyDescent="0.25">
      <c r="B6" t="s">
        <v>119</v>
      </c>
      <c r="C6" s="4" t="s">
        <v>21</v>
      </c>
      <c r="D6" s="79">
        <v>3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07"/>
      <c r="Q6" s="39"/>
      <c r="R6" s="39"/>
      <c r="S6" s="39"/>
      <c r="T6" s="39"/>
      <c r="U6" s="39"/>
      <c r="V6" s="39"/>
      <c r="W6" s="39"/>
      <c r="X6" s="39"/>
      <c r="Y6" s="79">
        <f>D6</f>
        <v>3</v>
      </c>
      <c r="Z6" s="39"/>
      <c r="AA6" s="39"/>
      <c r="AB6" s="39"/>
      <c r="AC6" s="39"/>
      <c r="AD6" s="39"/>
      <c r="AE6" s="39"/>
      <c r="AF6" s="39"/>
    </row>
    <row r="7" spans="2:32" x14ac:dyDescent="0.25">
      <c r="B7" t="s">
        <v>119</v>
      </c>
      <c r="C7" s="4" t="s">
        <v>22</v>
      </c>
      <c r="D7" s="64">
        <v>3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107"/>
      <c r="Q7" s="39"/>
      <c r="R7" s="39"/>
      <c r="S7" s="39"/>
      <c r="T7" s="39"/>
      <c r="U7" s="39"/>
      <c r="V7" s="39"/>
      <c r="W7" s="39"/>
      <c r="X7" s="39"/>
      <c r="Y7" s="60"/>
      <c r="Z7" s="39"/>
      <c r="AA7" s="39"/>
      <c r="AB7" s="56">
        <f>D7</f>
        <v>3</v>
      </c>
      <c r="AC7" s="39"/>
      <c r="AD7" s="39"/>
      <c r="AE7" s="39"/>
      <c r="AF7" s="39"/>
    </row>
    <row r="8" spans="2:32" x14ac:dyDescent="0.25">
      <c r="B8" t="s">
        <v>119</v>
      </c>
      <c r="C8" s="4" t="s">
        <v>23</v>
      </c>
      <c r="D8" s="61">
        <v>4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107"/>
      <c r="Q8" s="39"/>
      <c r="R8" s="39"/>
      <c r="S8" s="39"/>
      <c r="T8" s="39"/>
      <c r="U8" s="39"/>
      <c r="V8" s="61">
        <f>D8</f>
        <v>4</v>
      </c>
      <c r="W8" s="39"/>
      <c r="X8" s="61">
        <f>D8</f>
        <v>4</v>
      </c>
      <c r="Y8" s="39"/>
      <c r="Z8" s="39"/>
      <c r="AA8" s="39"/>
      <c r="AB8" s="39"/>
      <c r="AC8" s="39"/>
      <c r="AD8" s="39"/>
      <c r="AE8" s="39"/>
      <c r="AF8" s="39"/>
    </row>
    <row r="9" spans="2:32" ht="15.75" thickBot="1" x14ac:dyDescent="0.3">
      <c r="B9" t="s">
        <v>119</v>
      </c>
      <c r="C9" s="6" t="s">
        <v>19</v>
      </c>
      <c r="D9" s="53">
        <v>5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107"/>
      <c r="Q9" s="53">
        <f>D9</f>
        <v>5</v>
      </c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3">
        <f>D9</f>
        <v>5</v>
      </c>
      <c r="AE9" s="59"/>
      <c r="AF9" s="59"/>
    </row>
    <row r="10" spans="2:32" x14ac:dyDescent="0.25">
      <c r="B10" t="s">
        <v>119</v>
      </c>
      <c r="C10" s="3" t="s">
        <v>28</v>
      </c>
      <c r="D10" s="60"/>
      <c r="E10" s="62">
        <v>1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107"/>
      <c r="Q10" s="83">
        <f>E10</f>
        <v>1</v>
      </c>
      <c r="R10" s="60"/>
      <c r="S10" s="60"/>
      <c r="T10" s="39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</row>
    <row r="11" spans="2:32" x14ac:dyDescent="0.25">
      <c r="B11" t="s">
        <v>119</v>
      </c>
      <c r="C11" s="4" t="s">
        <v>30</v>
      </c>
      <c r="D11" s="39"/>
      <c r="E11" s="62">
        <v>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107"/>
      <c r="Q11" s="39"/>
      <c r="R11" s="62">
        <f>E11</f>
        <v>1</v>
      </c>
      <c r="S11" s="39"/>
      <c r="T11" s="39"/>
      <c r="U11" s="60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2:32" x14ac:dyDescent="0.25">
      <c r="B12" t="s">
        <v>119</v>
      </c>
      <c r="C12" s="4" t="s">
        <v>24</v>
      </c>
      <c r="D12" s="39"/>
      <c r="E12" s="56">
        <v>2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107"/>
      <c r="Q12" s="39"/>
      <c r="R12" s="39"/>
      <c r="S12" s="39"/>
      <c r="T12" s="56">
        <f>E12</f>
        <v>2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2:32" x14ac:dyDescent="0.25">
      <c r="B13" t="s">
        <v>119</v>
      </c>
      <c r="C13" s="4" t="s">
        <v>25</v>
      </c>
      <c r="D13" s="60"/>
      <c r="E13" s="64">
        <v>2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107"/>
      <c r="Q13" s="39"/>
      <c r="R13" s="60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56">
        <f>E13</f>
        <v>2</v>
      </c>
      <c r="AD13" s="39"/>
      <c r="AE13" s="39"/>
      <c r="AF13" s="39"/>
    </row>
    <row r="14" spans="2:32" x14ac:dyDescent="0.25">
      <c r="B14" t="s">
        <v>119</v>
      </c>
      <c r="C14" s="4" t="s">
        <v>29</v>
      </c>
      <c r="D14" s="39"/>
      <c r="E14" s="79">
        <v>3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107"/>
      <c r="Q14" s="39"/>
      <c r="R14" s="39"/>
      <c r="S14" s="39"/>
      <c r="T14" s="39"/>
      <c r="U14" s="39"/>
      <c r="V14" s="39"/>
      <c r="W14" s="39"/>
      <c r="X14" s="57">
        <f>E14</f>
        <v>3</v>
      </c>
      <c r="Y14" s="39"/>
      <c r="Z14" s="39"/>
      <c r="AA14" s="39"/>
      <c r="AB14" s="39"/>
      <c r="AC14" s="39"/>
      <c r="AD14" s="39"/>
      <c r="AE14" s="39"/>
      <c r="AF14" s="39"/>
    </row>
    <row r="15" spans="2:32" x14ac:dyDescent="0.25">
      <c r="B15" t="s">
        <v>119</v>
      </c>
      <c r="C15" s="4" t="s">
        <v>27</v>
      </c>
      <c r="D15" s="60"/>
      <c r="E15" s="81">
        <v>4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107"/>
      <c r="Q15" s="39"/>
      <c r="R15" s="39"/>
      <c r="S15" s="39"/>
      <c r="T15" s="39"/>
      <c r="U15" s="39"/>
      <c r="V15" s="39"/>
      <c r="W15" s="39"/>
      <c r="X15" s="60"/>
      <c r="Y15" s="39"/>
      <c r="Z15" s="39"/>
      <c r="AA15" s="39"/>
      <c r="AB15" s="61">
        <f>E15</f>
        <v>4</v>
      </c>
      <c r="AC15" s="39"/>
      <c r="AD15" s="39"/>
      <c r="AE15" s="39"/>
      <c r="AF15" s="39"/>
    </row>
    <row r="16" spans="2:32" x14ac:dyDescent="0.25">
      <c r="B16" t="s">
        <v>119</v>
      </c>
      <c r="C16" s="4" t="s">
        <v>31</v>
      </c>
      <c r="D16" s="39"/>
      <c r="E16" s="79">
        <v>4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107"/>
      <c r="Q16" s="39"/>
      <c r="R16" s="39"/>
      <c r="S16" s="39"/>
      <c r="T16" s="39"/>
      <c r="U16" s="79">
        <f>E16</f>
        <v>4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2:32" ht="15.75" thickBot="1" x14ac:dyDescent="0.3">
      <c r="B17" t="s">
        <v>119</v>
      </c>
      <c r="C17" s="6" t="s">
        <v>26</v>
      </c>
      <c r="D17" s="59"/>
      <c r="E17" s="53">
        <v>5</v>
      </c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107"/>
      <c r="Q17" s="59"/>
      <c r="R17" s="53">
        <f>E17</f>
        <v>5</v>
      </c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</row>
    <row r="18" spans="2:32" x14ac:dyDescent="0.25">
      <c r="B18" t="s">
        <v>119</v>
      </c>
      <c r="C18" s="5" t="s">
        <v>32</v>
      </c>
      <c r="D18" s="60"/>
      <c r="E18" s="60"/>
      <c r="F18" s="56">
        <v>1</v>
      </c>
      <c r="G18" s="60"/>
      <c r="H18" s="60"/>
      <c r="I18" s="60"/>
      <c r="J18" s="60"/>
      <c r="K18" s="60"/>
      <c r="L18" s="60"/>
      <c r="M18" s="60"/>
      <c r="N18" s="60"/>
      <c r="O18" s="60"/>
      <c r="P18" s="107"/>
      <c r="Q18" s="60"/>
      <c r="R18" s="60"/>
      <c r="S18" s="60"/>
      <c r="T18" s="60"/>
      <c r="U18" s="64">
        <f>F18</f>
        <v>1</v>
      </c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</row>
    <row r="19" spans="2:32" x14ac:dyDescent="0.25">
      <c r="B19" t="s">
        <v>119</v>
      </c>
      <c r="C19" s="4" t="s">
        <v>34</v>
      </c>
      <c r="D19" s="39"/>
      <c r="E19" s="39"/>
      <c r="F19" s="79">
        <v>1</v>
      </c>
      <c r="G19" s="39"/>
      <c r="H19" s="39"/>
      <c r="I19" s="39"/>
      <c r="J19" s="39"/>
      <c r="K19" s="39"/>
      <c r="L19" s="39"/>
      <c r="M19" s="39"/>
      <c r="N19" s="39"/>
      <c r="O19" s="39"/>
      <c r="P19" s="107"/>
      <c r="Q19" s="39"/>
      <c r="R19" s="39"/>
      <c r="S19" s="39"/>
      <c r="T19" s="39"/>
      <c r="U19" s="39"/>
      <c r="V19" s="39"/>
      <c r="W19" s="79">
        <f>F19</f>
        <v>1</v>
      </c>
      <c r="X19" s="39"/>
      <c r="Y19" s="39"/>
      <c r="Z19" s="39"/>
      <c r="AA19" s="39"/>
      <c r="AB19" s="39"/>
      <c r="AC19" s="39"/>
      <c r="AD19" s="39"/>
      <c r="AE19" s="39"/>
      <c r="AF19" s="39"/>
    </row>
    <row r="20" spans="2:32" x14ac:dyDescent="0.25">
      <c r="B20" t="s">
        <v>119</v>
      </c>
      <c r="C20" s="4" t="s">
        <v>33</v>
      </c>
      <c r="D20" s="60"/>
      <c r="E20" s="39"/>
      <c r="F20" s="64">
        <v>2</v>
      </c>
      <c r="G20" s="39"/>
      <c r="H20" s="39"/>
      <c r="I20" s="39"/>
      <c r="J20" s="39"/>
      <c r="K20" s="39"/>
      <c r="L20" s="39"/>
      <c r="M20" s="39"/>
      <c r="N20" s="39"/>
      <c r="O20" s="39"/>
      <c r="P20" s="107"/>
      <c r="Q20" s="39"/>
      <c r="R20" s="39"/>
      <c r="S20" s="39"/>
      <c r="T20" s="56">
        <f>F20</f>
        <v>2</v>
      </c>
      <c r="U20" s="39"/>
      <c r="V20" s="39"/>
      <c r="W20" s="60"/>
      <c r="X20" s="39"/>
      <c r="Y20" s="39"/>
      <c r="Z20" s="39"/>
      <c r="AA20" s="39"/>
      <c r="AB20" s="39"/>
      <c r="AC20" s="39"/>
      <c r="AD20" s="39"/>
      <c r="AE20" s="39"/>
      <c r="AF20" s="39"/>
    </row>
    <row r="21" spans="2:32" ht="15.75" thickBot="1" x14ac:dyDescent="0.3">
      <c r="B21" t="s">
        <v>119</v>
      </c>
      <c r="C21" s="6" t="s">
        <v>35</v>
      </c>
      <c r="D21" s="59"/>
      <c r="E21" s="59"/>
      <c r="F21" s="58">
        <v>4</v>
      </c>
      <c r="G21" s="59"/>
      <c r="H21" s="59"/>
      <c r="I21" s="59"/>
      <c r="J21" s="59"/>
      <c r="K21" s="59"/>
      <c r="L21" s="59"/>
      <c r="M21" s="59"/>
      <c r="N21" s="59"/>
      <c r="O21" s="59"/>
      <c r="P21" s="107"/>
      <c r="Q21" s="59"/>
      <c r="R21" s="59"/>
      <c r="S21" s="59"/>
      <c r="T21" s="59"/>
      <c r="U21" s="59"/>
      <c r="V21" s="59"/>
      <c r="W21" s="58">
        <f>F21</f>
        <v>4</v>
      </c>
      <c r="X21" s="59"/>
      <c r="Y21" s="59"/>
      <c r="Z21" s="59"/>
      <c r="AA21" s="59"/>
      <c r="AB21" s="59"/>
      <c r="AC21" s="59"/>
      <c r="AD21" s="59"/>
      <c r="AE21" s="59"/>
      <c r="AF21" s="59"/>
    </row>
    <row r="22" spans="2:32" x14ac:dyDescent="0.25">
      <c r="B22" t="s">
        <v>119</v>
      </c>
      <c r="C22" s="5" t="s">
        <v>36</v>
      </c>
      <c r="D22" s="60"/>
      <c r="E22" s="60"/>
      <c r="F22" s="60"/>
      <c r="G22" s="62">
        <v>1</v>
      </c>
      <c r="H22" s="60"/>
      <c r="I22" s="60"/>
      <c r="J22" s="60"/>
      <c r="K22" s="60"/>
      <c r="L22" s="60"/>
      <c r="M22" s="60"/>
      <c r="N22" s="60"/>
      <c r="O22" s="60"/>
      <c r="P22" s="107"/>
      <c r="Q22" s="60"/>
      <c r="R22" s="60"/>
      <c r="S22" s="60"/>
      <c r="T22" s="60"/>
      <c r="U22" s="60"/>
      <c r="V22" s="60"/>
      <c r="W22" s="57">
        <f>G22</f>
        <v>1</v>
      </c>
      <c r="X22" s="60"/>
      <c r="Y22" s="60"/>
      <c r="Z22" s="60"/>
      <c r="AA22" s="60"/>
      <c r="AB22" s="60"/>
      <c r="AC22" s="60"/>
      <c r="AD22" s="60"/>
      <c r="AE22" s="60"/>
      <c r="AF22" s="60"/>
    </row>
    <row r="23" spans="2:32" x14ac:dyDescent="0.25">
      <c r="B23" t="s">
        <v>119</v>
      </c>
      <c r="C23" s="4" t="s">
        <v>38</v>
      </c>
      <c r="D23" s="39"/>
      <c r="E23" s="39"/>
      <c r="F23" s="39"/>
      <c r="G23" s="79">
        <v>1</v>
      </c>
      <c r="H23" s="39"/>
      <c r="I23" s="39"/>
      <c r="J23" s="39"/>
      <c r="K23" s="39"/>
      <c r="L23" s="39"/>
      <c r="M23" s="39"/>
      <c r="N23" s="39"/>
      <c r="O23" s="39"/>
      <c r="P23" s="107"/>
      <c r="Q23" s="39"/>
      <c r="R23" s="39"/>
      <c r="S23" s="39"/>
      <c r="T23" s="39"/>
      <c r="U23" s="62">
        <f>G23</f>
        <v>1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2:32" x14ac:dyDescent="0.25">
      <c r="B24" t="s">
        <v>119</v>
      </c>
      <c r="C24" s="4" t="s">
        <v>43</v>
      </c>
      <c r="D24" s="60"/>
      <c r="E24" s="39"/>
      <c r="F24" s="39"/>
      <c r="G24" s="83">
        <v>1</v>
      </c>
      <c r="H24" s="39"/>
      <c r="I24" s="39"/>
      <c r="J24" s="39"/>
      <c r="K24" s="39"/>
      <c r="L24" s="39"/>
      <c r="M24" s="39"/>
      <c r="N24" s="39"/>
      <c r="O24" s="39"/>
      <c r="P24" s="107"/>
      <c r="Q24" s="39"/>
      <c r="R24" s="39"/>
      <c r="S24" s="39"/>
      <c r="T24" s="39"/>
      <c r="U24" s="39"/>
      <c r="V24" s="62">
        <f>G24</f>
        <v>1</v>
      </c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 spans="2:32" x14ac:dyDescent="0.25">
      <c r="B25" t="s">
        <v>119</v>
      </c>
      <c r="C25" s="4" t="s">
        <v>41</v>
      </c>
      <c r="D25" s="60"/>
      <c r="E25" s="39"/>
      <c r="F25" s="39"/>
      <c r="G25" s="64">
        <v>2</v>
      </c>
      <c r="H25" s="39"/>
      <c r="I25" s="39"/>
      <c r="J25" s="39"/>
      <c r="K25" s="39"/>
      <c r="L25" s="39"/>
      <c r="M25" s="39"/>
      <c r="N25" s="39"/>
      <c r="O25" s="39"/>
      <c r="P25" s="107"/>
      <c r="Q25" s="39"/>
      <c r="R25" s="39"/>
      <c r="S25" s="39"/>
      <c r="T25" s="60"/>
      <c r="U25" s="39"/>
      <c r="V25" s="39"/>
      <c r="W25" s="39"/>
      <c r="X25" s="39"/>
      <c r="Y25" s="56">
        <f>G25</f>
        <v>2</v>
      </c>
      <c r="Z25" s="39"/>
      <c r="AA25" s="60"/>
      <c r="AB25" s="39"/>
      <c r="AC25" s="39"/>
      <c r="AD25" s="60"/>
      <c r="AE25" s="60"/>
      <c r="AF25" s="60"/>
    </row>
    <row r="26" spans="2:32" x14ac:dyDescent="0.25">
      <c r="B26" t="s">
        <v>119</v>
      </c>
      <c r="C26" s="4" t="s">
        <v>37</v>
      </c>
      <c r="D26" s="39"/>
      <c r="E26" s="39"/>
      <c r="F26" s="39"/>
      <c r="G26" s="56">
        <v>3</v>
      </c>
      <c r="H26" s="39"/>
      <c r="I26" s="39"/>
      <c r="J26" s="39"/>
      <c r="K26" s="39"/>
      <c r="L26" s="39"/>
      <c r="M26" s="39"/>
      <c r="N26" s="39"/>
      <c r="O26" s="39"/>
      <c r="P26" s="107"/>
      <c r="Q26" s="39"/>
      <c r="R26" s="39"/>
      <c r="S26" s="39"/>
      <c r="T26" s="39"/>
      <c r="U26" s="56">
        <f>G26</f>
        <v>3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 spans="2:32" x14ac:dyDescent="0.25">
      <c r="B27" t="s">
        <v>119</v>
      </c>
      <c r="C27" s="4" t="s">
        <v>39</v>
      </c>
      <c r="D27" s="39"/>
      <c r="E27" s="39"/>
      <c r="F27" s="39"/>
      <c r="G27" s="79">
        <v>3</v>
      </c>
      <c r="H27" s="39"/>
      <c r="I27" s="39"/>
      <c r="J27" s="39"/>
      <c r="K27" s="39"/>
      <c r="L27" s="39"/>
      <c r="M27" s="39"/>
      <c r="N27" s="39"/>
      <c r="O27" s="39"/>
      <c r="P27" s="107"/>
      <c r="Q27" s="39"/>
      <c r="R27" s="39"/>
      <c r="S27" s="39"/>
      <c r="T27" s="79">
        <f>G27</f>
        <v>3</v>
      </c>
      <c r="U27" s="39"/>
      <c r="V27" s="39"/>
      <c r="W27" s="39"/>
      <c r="X27" s="39"/>
      <c r="Y27" s="39"/>
      <c r="Z27" s="39"/>
      <c r="AA27" s="79">
        <f>G27</f>
        <v>3</v>
      </c>
      <c r="AB27" s="39"/>
      <c r="AC27" s="39"/>
      <c r="AD27" s="39"/>
      <c r="AE27" s="39"/>
      <c r="AF27" s="39"/>
    </row>
    <row r="28" spans="2:32" x14ac:dyDescent="0.25">
      <c r="B28" t="s">
        <v>119</v>
      </c>
      <c r="C28" s="4" t="s">
        <v>40</v>
      </c>
      <c r="D28" s="39"/>
      <c r="E28" s="39"/>
      <c r="F28" s="39"/>
      <c r="G28" s="61">
        <v>4</v>
      </c>
      <c r="H28" s="39"/>
      <c r="I28" s="39"/>
      <c r="J28" s="39"/>
      <c r="K28" s="39"/>
      <c r="L28" s="39"/>
      <c r="M28" s="39"/>
      <c r="N28" s="39"/>
      <c r="O28" s="39"/>
      <c r="P28" s="107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61">
        <f>G28</f>
        <v>4</v>
      </c>
      <c r="AD28" s="39"/>
      <c r="AE28" s="39"/>
      <c r="AF28" s="39"/>
    </row>
    <row r="29" spans="2:32" ht="15.75" thickBot="1" x14ac:dyDescent="0.3">
      <c r="B29" t="s">
        <v>119</v>
      </c>
      <c r="C29" s="6" t="s">
        <v>42</v>
      </c>
      <c r="D29" s="59"/>
      <c r="E29" s="59"/>
      <c r="F29" s="59"/>
      <c r="G29" s="58">
        <v>4</v>
      </c>
      <c r="H29" s="59"/>
      <c r="I29" s="59"/>
      <c r="J29" s="59"/>
      <c r="K29" s="59"/>
      <c r="L29" s="59"/>
      <c r="M29" s="59"/>
      <c r="N29" s="59"/>
      <c r="O29" s="59"/>
      <c r="P29" s="107"/>
      <c r="Q29" s="58">
        <f>G29</f>
        <v>4</v>
      </c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</row>
    <row r="30" spans="2:32" x14ac:dyDescent="0.25">
      <c r="B30" t="s">
        <v>119</v>
      </c>
      <c r="C30" s="5" t="s">
        <v>45</v>
      </c>
      <c r="D30" s="60"/>
      <c r="E30" s="60"/>
      <c r="F30" s="60"/>
      <c r="G30" s="60"/>
      <c r="H30" s="56">
        <v>1</v>
      </c>
      <c r="I30" s="60"/>
      <c r="J30" s="60"/>
      <c r="K30" s="60"/>
      <c r="L30" s="60"/>
      <c r="M30" s="60"/>
      <c r="N30" s="60"/>
      <c r="O30" s="60"/>
      <c r="P30" s="107"/>
      <c r="Q30" s="60"/>
      <c r="R30" s="60"/>
      <c r="S30" s="60"/>
      <c r="T30" s="60"/>
      <c r="U30" s="60"/>
      <c r="V30" s="60"/>
      <c r="W30" s="60"/>
      <c r="X30" s="56">
        <f>H30</f>
        <v>1</v>
      </c>
      <c r="Y30" s="60"/>
      <c r="Z30" s="60"/>
      <c r="AA30" s="60"/>
      <c r="AB30" s="60"/>
      <c r="AC30" s="60"/>
      <c r="AD30" s="60"/>
      <c r="AE30" s="60"/>
      <c r="AF30" s="60"/>
    </row>
    <row r="31" spans="2:32" x14ac:dyDescent="0.25">
      <c r="B31" t="s">
        <v>119</v>
      </c>
      <c r="C31" s="4" t="s">
        <v>48</v>
      </c>
      <c r="D31" s="60"/>
      <c r="E31" s="39"/>
      <c r="F31" s="39"/>
      <c r="G31" s="39"/>
      <c r="H31" s="83">
        <v>1</v>
      </c>
      <c r="I31" s="39"/>
      <c r="J31" s="39"/>
      <c r="K31" s="39"/>
      <c r="L31" s="39"/>
      <c r="M31" s="39"/>
      <c r="N31" s="39"/>
      <c r="O31" s="39"/>
      <c r="P31" s="107"/>
      <c r="Q31" s="39"/>
      <c r="R31" s="39"/>
      <c r="S31" s="62">
        <f>H31</f>
        <v>1</v>
      </c>
      <c r="T31" s="39"/>
      <c r="U31" s="60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 spans="2:32" x14ac:dyDescent="0.25">
      <c r="B32" t="s">
        <v>119</v>
      </c>
      <c r="C32" s="4" t="s">
        <v>46</v>
      </c>
      <c r="D32" s="39"/>
      <c r="E32" s="39"/>
      <c r="F32" s="39"/>
      <c r="G32" s="39"/>
      <c r="H32" s="79">
        <v>2</v>
      </c>
      <c r="I32" s="39"/>
      <c r="J32" s="39"/>
      <c r="K32" s="39"/>
      <c r="L32" s="39"/>
      <c r="M32" s="39"/>
      <c r="N32" s="39"/>
      <c r="O32" s="39"/>
      <c r="P32" s="107"/>
      <c r="Q32" s="39"/>
      <c r="R32" s="39"/>
      <c r="S32" s="39"/>
      <c r="T32" s="39"/>
      <c r="U32" s="79">
        <f>H32</f>
        <v>2</v>
      </c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 spans="2:32" x14ac:dyDescent="0.25">
      <c r="B33" t="s">
        <v>119</v>
      </c>
      <c r="C33" s="4" t="s">
        <v>47</v>
      </c>
      <c r="D33" s="39"/>
      <c r="E33" s="39"/>
      <c r="F33" s="39"/>
      <c r="G33" s="39"/>
      <c r="H33" s="56">
        <v>2</v>
      </c>
      <c r="I33" s="60"/>
      <c r="J33" s="39"/>
      <c r="K33" s="39"/>
      <c r="L33" s="39"/>
      <c r="M33" s="39"/>
      <c r="N33" s="39"/>
      <c r="O33" s="39"/>
      <c r="P33" s="107"/>
      <c r="Q33" s="39"/>
      <c r="R33" s="39"/>
      <c r="S33" s="39"/>
      <c r="T33" s="39"/>
      <c r="U33" s="39"/>
      <c r="V33" s="56">
        <f>H33</f>
        <v>2</v>
      </c>
      <c r="W33" s="39"/>
      <c r="X33" s="60"/>
      <c r="Y33" s="39"/>
      <c r="Z33" s="39"/>
      <c r="AA33" s="39"/>
      <c r="AB33" s="39"/>
      <c r="AC33" s="39"/>
      <c r="AD33" s="60"/>
      <c r="AE33" s="60"/>
      <c r="AF33" s="60"/>
    </row>
    <row r="34" spans="2:32" x14ac:dyDescent="0.25">
      <c r="B34" t="s">
        <v>119</v>
      </c>
      <c r="C34" s="4" t="s">
        <v>49</v>
      </c>
      <c r="D34" s="39"/>
      <c r="E34" s="39"/>
      <c r="F34" s="39"/>
      <c r="G34" s="39"/>
      <c r="H34" s="61">
        <v>4</v>
      </c>
      <c r="I34" s="39"/>
      <c r="J34" s="39"/>
      <c r="K34" s="39"/>
      <c r="L34" s="39"/>
      <c r="M34" s="39"/>
      <c r="N34" s="39"/>
      <c r="O34" s="39"/>
      <c r="P34" s="107"/>
      <c r="Q34" s="39"/>
      <c r="R34" s="61">
        <f>H34</f>
        <v>4</v>
      </c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 spans="2:32" ht="15.75" thickBot="1" x14ac:dyDescent="0.3">
      <c r="B35" t="s">
        <v>119</v>
      </c>
      <c r="C35" s="84" t="s">
        <v>126</v>
      </c>
      <c r="D35" s="59"/>
      <c r="E35" s="59"/>
      <c r="F35" s="59"/>
      <c r="G35" s="59"/>
      <c r="H35" s="58">
        <v>5</v>
      </c>
      <c r="I35" s="59"/>
      <c r="J35" s="59"/>
      <c r="K35" s="59"/>
      <c r="L35" s="59"/>
      <c r="M35" s="59"/>
      <c r="N35" s="59"/>
      <c r="O35" s="59"/>
      <c r="P35" s="107"/>
      <c r="Q35" s="59"/>
      <c r="R35" s="59"/>
      <c r="S35" s="59"/>
      <c r="T35" s="59"/>
      <c r="U35" s="59"/>
      <c r="V35" s="59"/>
      <c r="W35" s="59"/>
      <c r="X35" s="59">
        <f>H35</f>
        <v>5</v>
      </c>
      <c r="Y35" s="59"/>
      <c r="Z35" s="59"/>
      <c r="AA35" s="59"/>
      <c r="AB35" s="59"/>
      <c r="AC35" s="59"/>
      <c r="AD35" s="59"/>
      <c r="AE35" s="59"/>
      <c r="AF35" s="59"/>
    </row>
    <row r="36" spans="2:32" x14ac:dyDescent="0.25">
      <c r="B36" t="s">
        <v>119</v>
      </c>
      <c r="C36" s="5" t="s">
        <v>50</v>
      </c>
      <c r="D36" s="60"/>
      <c r="E36" s="60"/>
      <c r="F36" s="60"/>
      <c r="G36" s="60"/>
      <c r="H36" s="60"/>
      <c r="I36" s="56">
        <v>2</v>
      </c>
      <c r="J36" s="60"/>
      <c r="K36" s="60"/>
      <c r="L36" s="60"/>
      <c r="M36" s="60"/>
      <c r="N36" s="60"/>
      <c r="O36" s="60"/>
      <c r="P36" s="107"/>
      <c r="Q36" s="56">
        <f>I36</f>
        <v>2</v>
      </c>
      <c r="R36" s="60"/>
      <c r="S36" s="40"/>
      <c r="T36" s="60"/>
      <c r="U36" s="60"/>
      <c r="V36" s="60"/>
      <c r="W36" s="56">
        <f>I36</f>
        <v>2</v>
      </c>
      <c r="X36" s="60"/>
      <c r="Y36" s="60"/>
      <c r="Z36" s="60"/>
      <c r="AA36" s="60"/>
      <c r="AB36" s="60"/>
      <c r="AC36" s="60"/>
      <c r="AD36" s="60"/>
      <c r="AE36" s="60"/>
      <c r="AF36" s="60"/>
    </row>
    <row r="37" spans="2:32" ht="15.75" thickBot="1" x14ac:dyDescent="0.3">
      <c r="B37" t="s">
        <v>119</v>
      </c>
      <c r="C37" s="4" t="s">
        <v>52</v>
      </c>
      <c r="D37" s="39"/>
      <c r="E37" s="39"/>
      <c r="F37" s="39"/>
      <c r="G37" s="39"/>
      <c r="H37" s="39"/>
      <c r="I37" s="63">
        <v>3</v>
      </c>
      <c r="J37" s="39"/>
      <c r="K37" s="39"/>
      <c r="L37" s="39"/>
      <c r="M37" s="39"/>
      <c r="N37" s="39"/>
      <c r="O37" s="39"/>
      <c r="P37" s="107"/>
      <c r="Q37" s="39"/>
      <c r="R37" s="39"/>
      <c r="S37" s="60"/>
      <c r="T37" s="39"/>
      <c r="U37" s="39"/>
      <c r="V37" s="39"/>
      <c r="W37" s="39"/>
      <c r="X37" s="39"/>
      <c r="Y37" s="39"/>
      <c r="Z37" s="79">
        <f>I37</f>
        <v>3</v>
      </c>
      <c r="AA37" s="39"/>
      <c r="AB37" s="39"/>
      <c r="AC37" s="39"/>
      <c r="AD37" s="39"/>
      <c r="AE37" s="59"/>
      <c r="AF37" s="39"/>
    </row>
    <row r="38" spans="2:32" x14ac:dyDescent="0.25">
      <c r="B38" t="s">
        <v>119</v>
      </c>
      <c r="C38" s="3" t="s">
        <v>53</v>
      </c>
      <c r="D38" s="60"/>
      <c r="E38" s="39"/>
      <c r="F38" s="39"/>
      <c r="G38" s="39"/>
      <c r="H38" s="39"/>
      <c r="I38" s="81">
        <v>4</v>
      </c>
      <c r="J38" s="39"/>
      <c r="K38" s="39"/>
      <c r="L38" s="39"/>
      <c r="M38" s="39"/>
      <c r="N38" s="39"/>
      <c r="O38" s="39"/>
      <c r="P38" s="107"/>
      <c r="Q38" s="39"/>
      <c r="R38" s="39"/>
      <c r="S38" s="39"/>
      <c r="T38" s="39"/>
      <c r="U38" s="39"/>
      <c r="V38" s="39"/>
      <c r="W38" s="39"/>
      <c r="X38" s="39"/>
      <c r="Y38" s="61">
        <f>I38</f>
        <v>4</v>
      </c>
      <c r="Z38" s="60"/>
      <c r="AA38" s="39"/>
      <c r="AB38" s="39"/>
      <c r="AC38" s="39"/>
      <c r="AD38" s="39"/>
      <c r="AE38" s="39"/>
      <c r="AF38" s="39"/>
    </row>
    <row r="39" spans="2:32" ht="15.75" thickBot="1" x14ac:dyDescent="0.3">
      <c r="B39" t="s">
        <v>119</v>
      </c>
      <c r="C39" s="2" t="s">
        <v>51</v>
      </c>
      <c r="D39" s="59"/>
      <c r="E39" s="59"/>
      <c r="F39" s="59"/>
      <c r="G39" s="59"/>
      <c r="H39" s="59"/>
      <c r="I39" s="53">
        <v>5</v>
      </c>
      <c r="J39" s="59"/>
      <c r="K39" s="59"/>
      <c r="L39" s="59"/>
      <c r="M39" s="59"/>
      <c r="N39" s="59"/>
      <c r="O39" s="59"/>
      <c r="P39" s="107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3">
        <f>I39</f>
        <v>5</v>
      </c>
      <c r="AF39" s="59"/>
    </row>
    <row r="40" spans="2:32" x14ac:dyDescent="0.25">
      <c r="B40" t="s">
        <v>119</v>
      </c>
      <c r="C40" s="5" t="s">
        <v>55</v>
      </c>
      <c r="D40" s="60"/>
      <c r="E40" s="60"/>
      <c r="F40" s="60"/>
      <c r="G40" s="60"/>
      <c r="H40" s="60"/>
      <c r="I40" s="60"/>
      <c r="J40" s="64">
        <v>2</v>
      </c>
      <c r="K40" s="60"/>
      <c r="L40" s="60"/>
      <c r="M40" s="60"/>
      <c r="N40" s="60"/>
      <c r="O40" s="60"/>
      <c r="P40" s="107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57">
        <f>J40</f>
        <v>2</v>
      </c>
      <c r="AB40" s="60"/>
      <c r="AC40" s="60"/>
      <c r="AD40" s="60"/>
      <c r="AE40" s="60"/>
      <c r="AF40" s="60"/>
    </row>
    <row r="41" spans="2:32" x14ac:dyDescent="0.25">
      <c r="B41" t="s">
        <v>119</v>
      </c>
      <c r="C41" s="4" t="s">
        <v>54</v>
      </c>
      <c r="D41" s="39"/>
      <c r="E41" s="39"/>
      <c r="F41" s="39"/>
      <c r="G41" s="39"/>
      <c r="H41" s="39"/>
      <c r="I41" s="39"/>
      <c r="J41" s="79">
        <v>4</v>
      </c>
      <c r="K41" s="39"/>
      <c r="L41" s="39"/>
      <c r="M41" s="39"/>
      <c r="N41" s="39"/>
      <c r="O41" s="39"/>
      <c r="P41" s="107"/>
      <c r="Q41" s="39"/>
      <c r="R41" s="39"/>
      <c r="S41" s="39"/>
      <c r="T41" s="39"/>
      <c r="U41" s="39"/>
      <c r="V41" s="56">
        <f>J41</f>
        <v>4</v>
      </c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2:32" ht="15.75" thickBot="1" x14ac:dyDescent="0.3">
      <c r="B42" t="s">
        <v>119</v>
      </c>
      <c r="C42" s="2" t="s">
        <v>56</v>
      </c>
      <c r="D42" s="59"/>
      <c r="E42" s="59"/>
      <c r="F42" s="59"/>
      <c r="G42" s="59"/>
      <c r="H42" s="59"/>
      <c r="I42" s="59"/>
      <c r="J42" s="58">
        <v>4</v>
      </c>
      <c r="K42" s="59"/>
      <c r="L42" s="59"/>
      <c r="M42" s="59"/>
      <c r="N42" s="59"/>
      <c r="O42" s="59"/>
      <c r="P42" s="107"/>
      <c r="Q42" s="59"/>
      <c r="R42" s="59"/>
      <c r="S42" s="59"/>
      <c r="T42" s="59"/>
      <c r="U42" s="59"/>
      <c r="V42" s="59"/>
      <c r="W42" s="59"/>
      <c r="X42" s="59"/>
      <c r="Y42" s="59"/>
      <c r="Z42" s="58">
        <f>J42</f>
        <v>4</v>
      </c>
      <c r="AA42" s="59"/>
      <c r="AB42" s="58">
        <f>J42</f>
        <v>4</v>
      </c>
      <c r="AC42" s="59"/>
      <c r="AD42" s="59"/>
      <c r="AE42" s="59"/>
      <c r="AF42" s="59"/>
    </row>
    <row r="43" spans="2:32" x14ac:dyDescent="0.25">
      <c r="B43" t="s">
        <v>119</v>
      </c>
      <c r="C43" s="1" t="s">
        <v>60</v>
      </c>
      <c r="D43" s="60"/>
      <c r="E43" s="60"/>
      <c r="F43" s="60"/>
      <c r="G43" s="60"/>
      <c r="H43" s="60"/>
      <c r="I43" s="60"/>
      <c r="J43" s="60"/>
      <c r="K43" s="62">
        <v>1</v>
      </c>
      <c r="L43" s="60"/>
      <c r="M43" s="60"/>
      <c r="N43" s="60"/>
      <c r="O43" s="60"/>
      <c r="P43" s="107"/>
      <c r="Q43" s="60"/>
      <c r="R43" s="60"/>
      <c r="S43" s="39"/>
      <c r="T43" s="39"/>
      <c r="U43" s="60"/>
      <c r="V43" s="83">
        <f>K43</f>
        <v>1</v>
      </c>
      <c r="W43" s="60"/>
      <c r="X43" s="60"/>
      <c r="Y43" s="60"/>
      <c r="Z43" s="60"/>
      <c r="AA43" s="60"/>
      <c r="AB43" s="60"/>
      <c r="AC43" s="60"/>
      <c r="AD43" s="60"/>
      <c r="AE43" s="60"/>
      <c r="AF43" s="60"/>
    </row>
    <row r="44" spans="2:32" x14ac:dyDescent="0.25">
      <c r="B44" t="s">
        <v>119</v>
      </c>
      <c r="C44" s="4" t="s">
        <v>58</v>
      </c>
      <c r="D44" s="39"/>
      <c r="E44" s="39"/>
      <c r="F44" s="39"/>
      <c r="G44" s="39"/>
      <c r="H44" s="39"/>
      <c r="I44" s="39"/>
      <c r="J44" s="39"/>
      <c r="K44" s="56">
        <v>2</v>
      </c>
      <c r="L44" s="39"/>
      <c r="M44" s="39"/>
      <c r="N44" s="39"/>
      <c r="O44" s="39"/>
      <c r="P44" s="107"/>
      <c r="Q44" s="39"/>
      <c r="R44" s="39"/>
      <c r="S44" s="56">
        <f>K44</f>
        <v>2</v>
      </c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2:32" x14ac:dyDescent="0.25">
      <c r="B45" t="s">
        <v>119</v>
      </c>
      <c r="C45" s="4" t="s">
        <v>59</v>
      </c>
      <c r="D45" s="39"/>
      <c r="E45" s="39"/>
      <c r="F45" s="39"/>
      <c r="G45" s="39"/>
      <c r="H45" s="39"/>
      <c r="I45" s="39"/>
      <c r="J45" s="39"/>
      <c r="K45" s="56">
        <v>3</v>
      </c>
      <c r="L45" s="39"/>
      <c r="M45" s="39"/>
      <c r="N45" s="39"/>
      <c r="O45" s="39"/>
      <c r="P45" s="107"/>
      <c r="Q45" s="39"/>
      <c r="R45" s="39"/>
      <c r="S45" s="39"/>
      <c r="T45" s="39"/>
      <c r="U45" s="39"/>
      <c r="V45" s="39"/>
      <c r="W45" s="39"/>
      <c r="X45" s="39"/>
      <c r="Y45" s="39"/>
      <c r="Z45" s="56">
        <f>K45</f>
        <v>3</v>
      </c>
      <c r="AA45" s="39"/>
      <c r="AB45" s="39"/>
      <c r="AC45" s="39"/>
      <c r="AD45" s="39"/>
      <c r="AE45" s="39"/>
      <c r="AF45" s="39"/>
    </row>
    <row r="46" spans="2:32" x14ac:dyDescent="0.25">
      <c r="B46" t="s">
        <v>119</v>
      </c>
      <c r="C46" s="4" t="s">
        <v>57</v>
      </c>
      <c r="D46" s="39"/>
      <c r="E46" s="39"/>
      <c r="F46" s="39"/>
      <c r="G46" s="39"/>
      <c r="H46" s="39"/>
      <c r="I46" s="39"/>
      <c r="J46" s="39"/>
      <c r="K46" s="61">
        <v>4</v>
      </c>
      <c r="L46" s="39"/>
      <c r="M46" s="39"/>
      <c r="N46" s="39"/>
      <c r="O46" s="39"/>
      <c r="P46" s="107"/>
      <c r="Q46" s="39"/>
      <c r="R46" s="39"/>
      <c r="S46" s="61">
        <f>K46</f>
        <v>4</v>
      </c>
      <c r="T46" s="61">
        <f>K46</f>
        <v>4</v>
      </c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2:32" ht="15.75" thickBot="1" x14ac:dyDescent="0.3">
      <c r="B47" t="s">
        <v>119</v>
      </c>
      <c r="C47" s="6" t="s">
        <v>61</v>
      </c>
      <c r="D47" s="59"/>
      <c r="E47" s="59"/>
      <c r="F47" s="59"/>
      <c r="G47" s="59"/>
      <c r="H47" s="59"/>
      <c r="I47" s="59"/>
      <c r="J47" s="59"/>
      <c r="K47" s="53">
        <v>5</v>
      </c>
      <c r="L47" s="59"/>
      <c r="M47" s="59"/>
      <c r="N47" s="59"/>
      <c r="O47" s="59"/>
      <c r="P47" s="107"/>
      <c r="Q47" s="59"/>
      <c r="R47" s="59"/>
      <c r="S47" s="59"/>
      <c r="T47" s="59"/>
      <c r="U47" s="59"/>
      <c r="V47" s="59"/>
      <c r="W47" s="53">
        <f>K47</f>
        <v>5</v>
      </c>
      <c r="X47" s="59"/>
      <c r="Y47" s="59"/>
      <c r="Z47" s="59"/>
      <c r="AA47" s="59"/>
      <c r="AB47" s="59"/>
      <c r="AC47" s="59"/>
      <c r="AD47" s="59"/>
      <c r="AE47" s="59"/>
      <c r="AF47" s="59"/>
    </row>
    <row r="48" spans="2:32" x14ac:dyDescent="0.25">
      <c r="B48" t="s">
        <v>119</v>
      </c>
      <c r="C48" s="5" t="s">
        <v>66</v>
      </c>
      <c r="D48" s="39"/>
      <c r="E48" s="60"/>
      <c r="F48" s="60"/>
      <c r="G48" s="60"/>
      <c r="H48" s="60"/>
      <c r="I48" s="60"/>
      <c r="J48" s="60"/>
      <c r="K48" s="60"/>
      <c r="L48" s="62">
        <v>1</v>
      </c>
      <c r="M48" s="60"/>
      <c r="N48" s="60"/>
      <c r="O48" s="60"/>
      <c r="P48" s="107"/>
      <c r="Q48" s="83">
        <f>L48</f>
        <v>1</v>
      </c>
      <c r="R48" s="60"/>
      <c r="S48" s="60"/>
      <c r="T48" s="60"/>
      <c r="U48" s="60"/>
      <c r="V48" s="60"/>
      <c r="W48" s="60"/>
      <c r="X48" s="60"/>
      <c r="Y48" s="60"/>
      <c r="Z48" s="39"/>
      <c r="AA48" s="60"/>
      <c r="AB48" s="60"/>
      <c r="AC48" s="60"/>
      <c r="AD48" s="60"/>
      <c r="AE48" s="60"/>
      <c r="AF48" s="60"/>
    </row>
    <row r="49" spans="2:32" x14ac:dyDescent="0.25">
      <c r="B49" t="s">
        <v>119</v>
      </c>
      <c r="C49" s="4" t="s">
        <v>62</v>
      </c>
      <c r="D49" s="60"/>
      <c r="E49" s="39"/>
      <c r="F49" s="39"/>
      <c r="G49" s="39"/>
      <c r="H49" s="39"/>
      <c r="I49" s="39"/>
      <c r="J49" s="39"/>
      <c r="K49" s="39"/>
      <c r="L49" s="64">
        <v>2</v>
      </c>
      <c r="M49" s="39"/>
      <c r="N49" s="39"/>
      <c r="O49" s="39"/>
      <c r="P49" s="107"/>
      <c r="Q49" s="39"/>
      <c r="R49" s="60"/>
      <c r="S49" s="39"/>
      <c r="T49" s="39"/>
      <c r="U49" s="39"/>
      <c r="V49" s="39"/>
      <c r="W49" s="39"/>
      <c r="X49" s="39"/>
      <c r="Y49" s="39"/>
      <c r="Z49" s="56">
        <f>L49</f>
        <v>2</v>
      </c>
      <c r="AA49" s="60"/>
      <c r="AB49" s="39"/>
      <c r="AC49" s="39"/>
      <c r="AD49" s="39"/>
      <c r="AE49" s="39"/>
      <c r="AF49" s="39"/>
    </row>
    <row r="50" spans="2:32" x14ac:dyDescent="0.25">
      <c r="B50" t="s">
        <v>119</v>
      </c>
      <c r="C50" s="4" t="s">
        <v>63</v>
      </c>
      <c r="D50" s="39"/>
      <c r="E50" s="39"/>
      <c r="F50" s="39"/>
      <c r="G50" s="39"/>
      <c r="H50" s="39"/>
      <c r="I50" s="39"/>
      <c r="J50" s="39"/>
      <c r="K50" s="39"/>
      <c r="L50" s="79">
        <v>3</v>
      </c>
      <c r="M50" s="39"/>
      <c r="N50" s="39"/>
      <c r="O50" s="39"/>
      <c r="P50" s="107"/>
      <c r="Q50" s="39"/>
      <c r="R50" s="79">
        <f>L50</f>
        <v>3</v>
      </c>
      <c r="S50" s="39"/>
      <c r="T50" s="39"/>
      <c r="U50" s="39"/>
      <c r="V50" s="39"/>
      <c r="W50" s="39"/>
      <c r="X50" s="39"/>
      <c r="Y50" s="39"/>
      <c r="Z50" s="39"/>
      <c r="AA50" s="79">
        <f>L50</f>
        <v>3</v>
      </c>
      <c r="AB50" s="39"/>
      <c r="AC50" s="39"/>
      <c r="AD50" s="39"/>
      <c r="AE50" s="39"/>
      <c r="AF50" s="39"/>
    </row>
    <row r="51" spans="2:32" ht="15.75" thickBot="1" x14ac:dyDescent="0.3">
      <c r="B51" t="s">
        <v>119</v>
      </c>
      <c r="C51" s="4" t="s">
        <v>64</v>
      </c>
      <c r="D51" s="59"/>
      <c r="E51" s="59"/>
      <c r="F51" s="59"/>
      <c r="G51" s="59"/>
      <c r="H51" s="59"/>
      <c r="I51" s="59"/>
      <c r="J51" s="59"/>
      <c r="K51" s="59"/>
      <c r="L51" s="62">
        <v>3</v>
      </c>
      <c r="M51" s="59"/>
      <c r="N51" s="59"/>
      <c r="O51" s="59"/>
      <c r="P51" s="107"/>
      <c r="Q51" s="59"/>
      <c r="R51" s="59"/>
      <c r="S51" s="59"/>
      <c r="T51" s="59"/>
      <c r="U51" s="59"/>
      <c r="V51" s="59"/>
      <c r="W51" s="65">
        <f>L51</f>
        <v>3</v>
      </c>
      <c r="X51" s="59"/>
      <c r="Y51" s="59"/>
      <c r="Z51" s="59"/>
      <c r="AA51" s="59"/>
      <c r="AB51" s="59"/>
      <c r="AC51" s="59"/>
      <c r="AD51" s="59"/>
      <c r="AE51" s="59"/>
      <c r="AF51" s="59"/>
    </row>
    <row r="52" spans="2:32" x14ac:dyDescent="0.25">
      <c r="B52" t="s">
        <v>119</v>
      </c>
      <c r="C52" s="5" t="s">
        <v>67</v>
      </c>
      <c r="D52" s="60"/>
      <c r="E52" s="60"/>
      <c r="F52" s="60"/>
      <c r="G52" s="60"/>
      <c r="H52" s="60"/>
      <c r="I52" s="60"/>
      <c r="J52" s="60"/>
      <c r="K52" s="60"/>
      <c r="L52" s="40" t="s">
        <v>114</v>
      </c>
      <c r="M52" s="60"/>
      <c r="N52" s="60"/>
      <c r="O52" s="60"/>
      <c r="P52" s="107"/>
      <c r="Q52" s="60"/>
      <c r="R52" s="60"/>
      <c r="S52" s="60"/>
      <c r="T52" s="60"/>
      <c r="U52" s="60"/>
      <c r="V52" s="60"/>
      <c r="W52" s="66" t="s">
        <v>114</v>
      </c>
      <c r="X52" s="60"/>
      <c r="Y52" s="60"/>
      <c r="Z52" s="60"/>
      <c r="AA52" s="60"/>
      <c r="AB52" s="60"/>
      <c r="AC52" s="60"/>
      <c r="AD52" s="60"/>
      <c r="AE52" s="60"/>
      <c r="AF52" s="60"/>
    </row>
    <row r="53" spans="2:32" x14ac:dyDescent="0.25">
      <c r="B53" t="s">
        <v>119</v>
      </c>
      <c r="C53" s="4" t="s">
        <v>68</v>
      </c>
      <c r="D53" s="39"/>
      <c r="E53" s="39"/>
      <c r="F53" s="39"/>
      <c r="G53" s="39"/>
      <c r="H53" s="39"/>
      <c r="I53" s="39"/>
      <c r="J53" s="39"/>
      <c r="K53" s="39"/>
      <c r="L53" s="39" t="s">
        <v>114</v>
      </c>
      <c r="M53" s="39"/>
      <c r="N53" s="39"/>
      <c r="O53" s="39"/>
      <c r="P53" s="107"/>
      <c r="Q53" s="66" t="s">
        <v>113</v>
      </c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2:32" ht="15.75" thickBot="1" x14ac:dyDescent="0.3">
      <c r="B54" t="s">
        <v>119</v>
      </c>
      <c r="C54" s="2" t="s">
        <v>69</v>
      </c>
      <c r="D54" s="59"/>
      <c r="E54" s="59"/>
      <c r="F54" s="59"/>
      <c r="G54" s="59"/>
      <c r="H54" s="59"/>
      <c r="I54" s="59"/>
      <c r="J54" s="59"/>
      <c r="K54" s="59"/>
      <c r="L54" s="59" t="s">
        <v>114</v>
      </c>
      <c r="M54" s="59"/>
      <c r="N54" s="59"/>
      <c r="O54" s="59"/>
      <c r="P54" s="107"/>
      <c r="Q54" s="59"/>
      <c r="R54" s="59"/>
      <c r="S54" s="59"/>
      <c r="T54" s="59"/>
      <c r="U54" s="59"/>
      <c r="V54" s="59"/>
      <c r="W54" s="59"/>
      <c r="X54" s="67" t="s">
        <v>114</v>
      </c>
      <c r="Y54" s="59"/>
      <c r="Z54" s="59"/>
      <c r="AA54" s="59"/>
      <c r="AB54" s="59"/>
      <c r="AC54" s="59"/>
      <c r="AD54" s="59"/>
      <c r="AE54" s="59"/>
      <c r="AF54" s="59"/>
    </row>
    <row r="55" spans="2:32" x14ac:dyDescent="0.25">
      <c r="B55" t="s">
        <v>119</v>
      </c>
      <c r="C55" s="5" t="s">
        <v>70</v>
      </c>
      <c r="D55" s="39"/>
      <c r="E55" s="60"/>
      <c r="F55" s="60"/>
      <c r="G55" s="60"/>
      <c r="H55" s="60"/>
      <c r="I55" s="60"/>
      <c r="J55" s="60"/>
      <c r="K55" s="60"/>
      <c r="L55" s="39"/>
      <c r="M55" s="56">
        <v>1</v>
      </c>
      <c r="N55" s="60"/>
      <c r="O55" s="60"/>
      <c r="P55" s="107"/>
      <c r="Q55" s="60"/>
      <c r="R55" s="56">
        <f>M55</f>
        <v>1</v>
      </c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</row>
    <row r="56" spans="2:32" x14ac:dyDescent="0.25">
      <c r="B56" t="s">
        <v>119</v>
      </c>
      <c r="C56" s="4" t="s">
        <v>71</v>
      </c>
      <c r="D56" s="39"/>
      <c r="E56" s="39"/>
      <c r="F56" s="39"/>
      <c r="G56" s="39"/>
      <c r="H56" s="39"/>
      <c r="I56" s="39"/>
      <c r="J56" s="39"/>
      <c r="K56" s="39"/>
      <c r="L56" s="39"/>
      <c r="M56" s="56">
        <v>2</v>
      </c>
      <c r="N56" s="39"/>
      <c r="O56" s="39"/>
      <c r="P56" s="107"/>
      <c r="Q56" s="56">
        <f>M56</f>
        <v>2</v>
      </c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2:32" ht="15.75" thickBot="1" x14ac:dyDescent="0.3">
      <c r="B57" t="s">
        <v>119</v>
      </c>
      <c r="C57" s="4" t="s">
        <v>73</v>
      </c>
      <c r="D57" s="39"/>
      <c r="E57" s="39"/>
      <c r="F57" s="39"/>
      <c r="G57" s="39"/>
      <c r="H57" s="39"/>
      <c r="I57" s="39"/>
      <c r="J57" s="39"/>
      <c r="K57" s="39"/>
      <c r="L57" s="39"/>
      <c r="M57" s="79">
        <v>3</v>
      </c>
      <c r="N57" s="39"/>
      <c r="O57" s="39"/>
      <c r="P57" s="107"/>
      <c r="Q57" s="39"/>
      <c r="R57" s="39"/>
      <c r="S57" s="79">
        <f>M57</f>
        <v>3</v>
      </c>
      <c r="T57" s="39"/>
      <c r="U57" s="39"/>
      <c r="V57" s="39"/>
      <c r="W57" s="39"/>
      <c r="X57" s="39"/>
      <c r="Y57" s="39"/>
      <c r="Z57" s="39"/>
      <c r="AA57" s="59"/>
      <c r="AB57" s="39"/>
      <c r="AC57" s="39"/>
      <c r="AD57" s="39"/>
      <c r="AE57" s="39"/>
      <c r="AF57" s="39"/>
    </row>
    <row r="58" spans="2:32" x14ac:dyDescent="0.25">
      <c r="B58" t="s">
        <v>119</v>
      </c>
      <c r="C58" s="4" t="s">
        <v>74</v>
      </c>
      <c r="D58" s="60"/>
      <c r="E58" s="39"/>
      <c r="F58" s="39"/>
      <c r="G58" s="39"/>
      <c r="H58" s="39"/>
      <c r="I58" s="39"/>
      <c r="J58" s="39"/>
      <c r="K58" s="39"/>
      <c r="L58" s="60"/>
      <c r="M58" s="57">
        <v>3</v>
      </c>
      <c r="N58" s="39"/>
      <c r="O58" s="39"/>
      <c r="P58" s="107"/>
      <c r="Q58" s="39"/>
      <c r="R58" s="39"/>
      <c r="S58" s="60"/>
      <c r="T58" s="39"/>
      <c r="U58" s="39"/>
      <c r="V58" s="79">
        <f>M58</f>
        <v>3</v>
      </c>
      <c r="W58" s="39"/>
      <c r="X58" s="39"/>
      <c r="Y58" s="79">
        <f>M58</f>
        <v>3</v>
      </c>
      <c r="Z58" s="39"/>
      <c r="AA58" s="39"/>
      <c r="AB58" s="39"/>
      <c r="AC58" s="39"/>
      <c r="AD58" s="39"/>
      <c r="AE58" s="39"/>
      <c r="AF58" s="39"/>
    </row>
    <row r="59" spans="2:32" ht="15.75" thickBot="1" x14ac:dyDescent="0.3">
      <c r="B59" t="s">
        <v>119</v>
      </c>
      <c r="C59" s="2" t="s">
        <v>72</v>
      </c>
      <c r="D59" s="59"/>
      <c r="E59" s="59"/>
      <c r="F59" s="59"/>
      <c r="G59" s="59"/>
      <c r="H59" s="59"/>
      <c r="I59" s="59"/>
      <c r="J59" s="59"/>
      <c r="K59" s="59"/>
      <c r="L59" s="59"/>
      <c r="M59" s="53">
        <v>5</v>
      </c>
      <c r="N59" s="59"/>
      <c r="O59" s="59"/>
      <c r="P59" s="107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3">
        <f>M59</f>
        <v>5</v>
      </c>
      <c r="AB59" s="59"/>
      <c r="AC59" s="59"/>
      <c r="AD59" s="59"/>
      <c r="AE59" s="59"/>
      <c r="AF59" s="59"/>
    </row>
    <row r="60" spans="2:32" x14ac:dyDescent="0.25">
      <c r="B60" t="s">
        <v>119</v>
      </c>
      <c r="C60" s="5" t="s">
        <v>79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83">
        <v>1</v>
      </c>
      <c r="O60" s="60"/>
      <c r="P60" s="107"/>
      <c r="Q60" s="60"/>
      <c r="R60" s="60"/>
      <c r="S60" s="60"/>
      <c r="T60" s="60"/>
      <c r="U60" s="60"/>
      <c r="V60" s="60"/>
      <c r="W60" s="60"/>
      <c r="X60" s="60"/>
      <c r="Y60" s="60"/>
      <c r="Z60" s="83">
        <f>N60</f>
        <v>1</v>
      </c>
      <c r="AA60" s="60"/>
      <c r="AB60" s="60"/>
      <c r="AC60" s="60"/>
      <c r="AD60" s="60"/>
      <c r="AE60" s="60"/>
      <c r="AF60" s="60"/>
    </row>
    <row r="61" spans="2:32" x14ac:dyDescent="0.25">
      <c r="B61" t="s">
        <v>119</v>
      </c>
      <c r="C61" s="4" t="s">
        <v>80</v>
      </c>
      <c r="D61" s="60"/>
      <c r="E61" s="39"/>
      <c r="F61" s="39"/>
      <c r="G61" s="39"/>
      <c r="H61" s="39"/>
      <c r="I61" s="39"/>
      <c r="J61" s="39"/>
      <c r="K61" s="39"/>
      <c r="L61" s="39"/>
      <c r="M61" s="60"/>
      <c r="N61" s="64">
        <v>2</v>
      </c>
      <c r="O61" s="39"/>
      <c r="P61" s="107"/>
      <c r="Q61" s="60"/>
      <c r="R61" s="56">
        <f>N61</f>
        <v>2</v>
      </c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2:32" x14ac:dyDescent="0.25">
      <c r="B62" t="s">
        <v>119</v>
      </c>
      <c r="C62" s="4" t="s">
        <v>76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79">
        <v>3</v>
      </c>
      <c r="O62" s="39"/>
      <c r="P62" s="107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79">
        <f>N62</f>
        <v>3</v>
      </c>
      <c r="AD62" s="39"/>
      <c r="AE62" s="39"/>
      <c r="AF62" s="39"/>
    </row>
    <row r="63" spans="2:32" x14ac:dyDescent="0.25">
      <c r="B63" t="s">
        <v>119</v>
      </c>
      <c r="C63" s="4" t="s">
        <v>77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79">
        <v>4</v>
      </c>
      <c r="O63" s="39"/>
      <c r="P63" s="107"/>
      <c r="Q63" s="79">
        <f>N63</f>
        <v>4</v>
      </c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2:32" ht="15.75" thickBot="1" x14ac:dyDescent="0.3">
      <c r="B64" t="s">
        <v>119</v>
      </c>
      <c r="C64" s="4" t="s">
        <v>78</v>
      </c>
      <c r="D64" s="68"/>
      <c r="E64" s="59"/>
      <c r="F64" s="59"/>
      <c r="G64" s="59"/>
      <c r="H64" s="59"/>
      <c r="I64" s="59"/>
      <c r="J64" s="59"/>
      <c r="K64" s="59"/>
      <c r="L64" s="59"/>
      <c r="M64" s="59"/>
      <c r="N64" s="69">
        <v>5</v>
      </c>
      <c r="O64" s="59"/>
      <c r="P64" s="107"/>
      <c r="Q64" s="59"/>
      <c r="R64" s="3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69">
        <f>N64</f>
        <v>5</v>
      </c>
      <c r="AD64" s="59"/>
      <c r="AE64" s="59"/>
      <c r="AF64" s="59"/>
    </row>
    <row r="65" spans="2:32" x14ac:dyDescent="0.25">
      <c r="B65" t="s">
        <v>119</v>
      </c>
      <c r="C65" s="1" t="s">
        <v>84</v>
      </c>
      <c r="D65" s="55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83">
        <v>1</v>
      </c>
      <c r="P65" s="107"/>
      <c r="Q65" s="60"/>
      <c r="R65" s="40"/>
      <c r="S65" s="60"/>
      <c r="T65" s="60"/>
      <c r="U65" s="60"/>
      <c r="V65" s="60"/>
      <c r="W65" s="60"/>
      <c r="X65" s="60"/>
      <c r="Y65" s="83">
        <f>O65</f>
        <v>1</v>
      </c>
      <c r="Z65" s="60"/>
      <c r="AA65" s="60"/>
      <c r="AB65" s="60"/>
      <c r="AC65" s="60"/>
      <c r="AD65" s="60"/>
      <c r="AE65" s="60"/>
      <c r="AF65" s="60"/>
    </row>
    <row r="66" spans="2:32" x14ac:dyDescent="0.25">
      <c r="B66" t="s">
        <v>119</v>
      </c>
      <c r="C66" s="4" t="s">
        <v>83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56">
        <v>2</v>
      </c>
      <c r="P66" s="107"/>
      <c r="Q66" s="39"/>
      <c r="R66" s="60"/>
      <c r="S66" s="39"/>
      <c r="T66" s="39"/>
      <c r="U66" s="39"/>
      <c r="V66" s="39"/>
      <c r="W66" s="39"/>
      <c r="X66" s="39"/>
      <c r="Y66" s="39"/>
      <c r="Z66" s="39"/>
      <c r="AA66" s="56">
        <f>O66</f>
        <v>2</v>
      </c>
      <c r="AB66" s="39"/>
      <c r="AC66" s="60"/>
      <c r="AD66" s="39"/>
      <c r="AE66" s="39"/>
      <c r="AF66" s="39"/>
    </row>
    <row r="67" spans="2:32" ht="15.75" thickBot="1" x14ac:dyDescent="0.3">
      <c r="B67" t="s">
        <v>119</v>
      </c>
      <c r="C67" s="4" t="s">
        <v>105</v>
      </c>
      <c r="D67" s="68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63">
        <v>3</v>
      </c>
      <c r="P67" s="107"/>
      <c r="Q67" s="79">
        <f>O67</f>
        <v>3</v>
      </c>
      <c r="R67" s="39"/>
      <c r="S67" s="39"/>
      <c r="T67" s="39"/>
      <c r="U67" s="39"/>
      <c r="V67" s="39"/>
      <c r="W67" s="39"/>
      <c r="X67" s="39"/>
      <c r="Y67" s="39"/>
      <c r="Z67" s="59"/>
      <c r="AA67" s="39"/>
      <c r="AB67" s="39"/>
      <c r="AC67" s="39"/>
      <c r="AD67" s="39"/>
      <c r="AE67" s="39"/>
      <c r="AF67" s="39"/>
    </row>
    <row r="68" spans="2:32" x14ac:dyDescent="0.25">
      <c r="B68" t="s">
        <v>119</v>
      </c>
      <c r="C68" s="4" t="s">
        <v>81</v>
      </c>
      <c r="D68" s="39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1">
        <v>4</v>
      </c>
      <c r="P68" s="107"/>
      <c r="Q68" s="39"/>
      <c r="R68" s="39"/>
      <c r="S68" s="39"/>
      <c r="T68" s="39"/>
      <c r="U68" s="61">
        <f>O68</f>
        <v>4</v>
      </c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2:32" ht="15.75" thickBot="1" x14ac:dyDescent="0.3">
      <c r="B69" t="s">
        <v>119</v>
      </c>
      <c r="C69" s="6" t="s">
        <v>82</v>
      </c>
      <c r="D69" s="68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85">
        <v>5</v>
      </c>
      <c r="P69" s="107"/>
      <c r="Q69" s="68"/>
      <c r="R69" s="68"/>
      <c r="S69" s="68"/>
      <c r="T69" s="68"/>
      <c r="U69" s="68"/>
      <c r="V69" s="68"/>
      <c r="W69" s="68"/>
      <c r="X69" s="68"/>
      <c r="Y69" s="39"/>
      <c r="Z69" s="85">
        <f>O69</f>
        <v>5</v>
      </c>
      <c r="AA69" s="68"/>
      <c r="AB69" s="68"/>
      <c r="AC69" s="68"/>
      <c r="AD69" s="54"/>
      <c r="AE69" s="54"/>
      <c r="AF69" s="54"/>
    </row>
    <row r="70" spans="2:32" ht="15.75" thickBot="1" x14ac:dyDescent="0.3">
      <c r="B70" t="s">
        <v>119</v>
      </c>
      <c r="C70" s="7" t="s">
        <v>88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107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70">
        <v>3</v>
      </c>
    </row>
    <row r="71" spans="2:32" ht="15.75" thickBot="1" x14ac:dyDescent="0.3">
      <c r="D71" s="7" t="s">
        <v>0</v>
      </c>
      <c r="E71" s="7" t="s">
        <v>1</v>
      </c>
      <c r="F71" s="7" t="s">
        <v>2</v>
      </c>
      <c r="G71" s="7" t="s">
        <v>44</v>
      </c>
      <c r="H71" s="7" t="s">
        <v>90</v>
      </c>
      <c r="I71" s="7" t="s">
        <v>3</v>
      </c>
      <c r="J71" s="7" t="s">
        <v>91</v>
      </c>
      <c r="K71" s="7" t="s">
        <v>4</v>
      </c>
      <c r="L71" s="7" t="s">
        <v>5</v>
      </c>
      <c r="M71" s="7" t="s">
        <v>6</v>
      </c>
      <c r="N71" s="7" t="s">
        <v>75</v>
      </c>
      <c r="O71" s="7" t="s">
        <v>7</v>
      </c>
      <c r="P71" s="108"/>
      <c r="Q71" s="7" t="s">
        <v>9</v>
      </c>
      <c r="R71" s="7" t="s">
        <v>10</v>
      </c>
      <c r="S71" s="7" t="s">
        <v>11</v>
      </c>
      <c r="T71" s="7" t="s">
        <v>89</v>
      </c>
      <c r="U71" s="7" t="s">
        <v>12</v>
      </c>
      <c r="V71" s="7" t="s">
        <v>13</v>
      </c>
      <c r="W71" s="7" t="s">
        <v>14</v>
      </c>
      <c r="X71" s="7" t="s">
        <v>15</v>
      </c>
      <c r="Y71" s="7" t="s">
        <v>16</v>
      </c>
      <c r="Z71" s="7" t="s">
        <v>17</v>
      </c>
      <c r="AA71" s="7" t="s">
        <v>65</v>
      </c>
      <c r="AB71" s="7" t="s">
        <v>85</v>
      </c>
      <c r="AC71" s="7" t="s">
        <v>86</v>
      </c>
      <c r="AD71" s="7" t="s">
        <v>87</v>
      </c>
      <c r="AE71" s="7" t="s">
        <v>94</v>
      </c>
      <c r="AF71" s="7" t="s">
        <v>8</v>
      </c>
    </row>
    <row r="72" spans="2:32" ht="15.75" thickBot="1" x14ac:dyDescent="0.3"/>
    <row r="73" spans="2:32" ht="15.75" thickBot="1" x14ac:dyDescent="0.3">
      <c r="C73" s="7" t="s">
        <v>115</v>
      </c>
      <c r="P73" s="7" t="s">
        <v>115</v>
      </c>
    </row>
    <row r="74" spans="2:32" ht="15.75" thickBot="1" x14ac:dyDescent="0.3">
      <c r="C74" s="47" t="s">
        <v>108</v>
      </c>
      <c r="D74" s="38">
        <f>COUNTIF(D5:D70,1)</f>
        <v>0</v>
      </c>
      <c r="E74" s="38">
        <f t="shared" ref="E74:O74" si="0">COUNTIF(E5:E70,1)</f>
        <v>2</v>
      </c>
      <c r="F74" s="38">
        <f t="shared" si="0"/>
        <v>2</v>
      </c>
      <c r="G74" s="38">
        <f t="shared" si="0"/>
        <v>3</v>
      </c>
      <c r="H74" s="38">
        <f t="shared" si="0"/>
        <v>2</v>
      </c>
      <c r="I74" s="38">
        <f t="shared" si="0"/>
        <v>0</v>
      </c>
      <c r="J74" s="38">
        <f t="shared" si="0"/>
        <v>0</v>
      </c>
      <c r="K74" s="38">
        <f t="shared" si="0"/>
        <v>1</v>
      </c>
      <c r="L74" s="38">
        <f t="shared" si="0"/>
        <v>1</v>
      </c>
      <c r="M74" s="38">
        <f t="shared" si="0"/>
        <v>1</v>
      </c>
      <c r="N74" s="38">
        <f t="shared" si="0"/>
        <v>1</v>
      </c>
      <c r="O74" s="38">
        <f t="shared" si="0"/>
        <v>1</v>
      </c>
      <c r="P74" s="43" t="s">
        <v>108</v>
      </c>
      <c r="Q74" s="71">
        <f>COUNTIF(Q5:Q70,1)</f>
        <v>2</v>
      </c>
      <c r="R74" s="72">
        <f>COUNTIF(R5:R70,1)</f>
        <v>2</v>
      </c>
      <c r="S74" s="72">
        <f>COUNTIF(S5:S70,1)</f>
        <v>1</v>
      </c>
      <c r="T74" s="72">
        <f>COUNTIF(T5:T70,1)</f>
        <v>0</v>
      </c>
      <c r="U74" s="72">
        <f>COUNTIF(U5:U70,1)</f>
        <v>2</v>
      </c>
      <c r="V74" s="72">
        <f t="shared" ref="V74:AA74" si="1">COUNTIF(V5:V70,1)</f>
        <v>2</v>
      </c>
      <c r="W74" s="72">
        <f t="shared" si="1"/>
        <v>2</v>
      </c>
      <c r="X74" s="72">
        <f t="shared" si="1"/>
        <v>1</v>
      </c>
      <c r="Y74" s="72">
        <f t="shared" si="1"/>
        <v>1</v>
      </c>
      <c r="Z74" s="72">
        <f t="shared" si="1"/>
        <v>1</v>
      </c>
      <c r="AA74" s="72">
        <f t="shared" si="1"/>
        <v>0</v>
      </c>
      <c r="AB74" s="72">
        <f t="shared" ref="AB74:AE74" si="2">COUNTIF(AB5:AB70,1)</f>
        <v>0</v>
      </c>
      <c r="AC74" s="72">
        <f t="shared" si="2"/>
        <v>0</v>
      </c>
      <c r="AD74" s="72">
        <f t="shared" si="2"/>
        <v>0</v>
      </c>
      <c r="AE74" s="72">
        <f t="shared" si="2"/>
        <v>0</v>
      </c>
      <c r="AF74" s="18">
        <f t="shared" ref="AF74" si="3">COUNTIF(AF5:AF70,1)</f>
        <v>0</v>
      </c>
    </row>
    <row r="75" spans="2:32" ht="15.75" thickBot="1" x14ac:dyDescent="0.3">
      <c r="C75" s="48" t="s">
        <v>109</v>
      </c>
      <c r="D75" s="52">
        <f>COUNTIF(D5:D70,2)</f>
        <v>1</v>
      </c>
      <c r="E75" s="52">
        <f t="shared" ref="E75:O75" si="4">COUNTIF(E5:E70,2)</f>
        <v>2</v>
      </c>
      <c r="F75" s="52">
        <f t="shared" si="4"/>
        <v>1</v>
      </c>
      <c r="G75" s="52">
        <f t="shared" si="4"/>
        <v>1</v>
      </c>
      <c r="H75" s="52">
        <f t="shared" si="4"/>
        <v>2</v>
      </c>
      <c r="I75" s="52">
        <f t="shared" si="4"/>
        <v>1</v>
      </c>
      <c r="J75" s="52">
        <f t="shared" si="4"/>
        <v>1</v>
      </c>
      <c r="K75" s="52">
        <f t="shared" si="4"/>
        <v>1</v>
      </c>
      <c r="L75" s="52">
        <f t="shared" si="4"/>
        <v>1</v>
      </c>
      <c r="M75" s="52">
        <f t="shared" si="4"/>
        <v>1</v>
      </c>
      <c r="N75" s="52">
        <f t="shared" si="4"/>
        <v>1</v>
      </c>
      <c r="O75" s="52">
        <f t="shared" si="4"/>
        <v>1</v>
      </c>
      <c r="P75" s="44" t="s">
        <v>109</v>
      </c>
      <c r="Q75" s="71">
        <f>COUNTIF(Q5:Q70,2)</f>
        <v>2</v>
      </c>
      <c r="R75" s="72">
        <f>COUNTIF(R5:R70,2)</f>
        <v>1</v>
      </c>
      <c r="S75" s="72">
        <f>COUNTIF(S5:S70,2)</f>
        <v>2</v>
      </c>
      <c r="T75" s="72">
        <f>COUNTIF(T5:T70,2)</f>
        <v>2</v>
      </c>
      <c r="U75" s="72">
        <f>COUNTIF(U5:U70,2)</f>
        <v>1</v>
      </c>
      <c r="V75" s="72">
        <f t="shared" ref="V75:AA75" si="5">COUNTIF(V5:V70,2)</f>
        <v>1</v>
      </c>
      <c r="W75" s="72">
        <f t="shared" si="5"/>
        <v>1</v>
      </c>
      <c r="X75" s="72">
        <f t="shared" si="5"/>
        <v>0</v>
      </c>
      <c r="Y75" s="72">
        <f t="shared" si="5"/>
        <v>1</v>
      </c>
      <c r="Z75" s="72">
        <f t="shared" si="5"/>
        <v>1</v>
      </c>
      <c r="AA75" s="72">
        <f t="shared" si="5"/>
        <v>2</v>
      </c>
      <c r="AB75" s="72">
        <f t="shared" ref="AB75:AE75" si="6">COUNTIF(AB5:AB70,2)</f>
        <v>0</v>
      </c>
      <c r="AC75" s="72">
        <f t="shared" si="6"/>
        <v>1</v>
      </c>
      <c r="AD75" s="72">
        <f t="shared" si="6"/>
        <v>0</v>
      </c>
      <c r="AE75" s="72">
        <f t="shared" si="6"/>
        <v>0</v>
      </c>
      <c r="AF75" s="18">
        <f t="shared" ref="AF75" si="7">COUNTIF(AF5:AF70,2)</f>
        <v>0</v>
      </c>
    </row>
    <row r="76" spans="2:32" ht="15.75" thickBot="1" x14ac:dyDescent="0.3">
      <c r="C76" s="49" t="s">
        <v>110</v>
      </c>
      <c r="D76" s="52">
        <f>COUNTIF(D5:D70,3)</f>
        <v>2</v>
      </c>
      <c r="E76" s="52">
        <f t="shared" ref="E76:O76" si="8">COUNTIF(E5:E70,3)</f>
        <v>1</v>
      </c>
      <c r="F76" s="52">
        <f t="shared" si="8"/>
        <v>0</v>
      </c>
      <c r="G76" s="52">
        <f t="shared" si="8"/>
        <v>2</v>
      </c>
      <c r="H76" s="52">
        <f t="shared" si="8"/>
        <v>0</v>
      </c>
      <c r="I76" s="52">
        <f t="shared" si="8"/>
        <v>1</v>
      </c>
      <c r="J76" s="52">
        <f t="shared" si="8"/>
        <v>0</v>
      </c>
      <c r="K76" s="52">
        <f t="shared" si="8"/>
        <v>1</v>
      </c>
      <c r="L76" s="52">
        <f t="shared" si="8"/>
        <v>2</v>
      </c>
      <c r="M76" s="52">
        <f t="shared" si="8"/>
        <v>2</v>
      </c>
      <c r="N76" s="52">
        <f t="shared" si="8"/>
        <v>1</v>
      </c>
      <c r="O76" s="52">
        <f t="shared" si="8"/>
        <v>1</v>
      </c>
      <c r="P76" s="42" t="s">
        <v>110</v>
      </c>
      <c r="Q76" s="71">
        <f>COUNTIF(Q5:Q70,3)</f>
        <v>1</v>
      </c>
      <c r="R76" s="72">
        <f>COUNTIF(R5:R70,3)</f>
        <v>1</v>
      </c>
      <c r="S76" s="72">
        <f>COUNTIF(S5:S70,3)</f>
        <v>1</v>
      </c>
      <c r="T76" s="72">
        <f>COUNTIF(T5:T70,3)</f>
        <v>1</v>
      </c>
      <c r="U76" s="72">
        <f>COUNTIF(U5:U70,3)</f>
        <v>1</v>
      </c>
      <c r="V76" s="72">
        <f t="shared" ref="V76:AA76" si="9">COUNTIF(V5:V70,3)</f>
        <v>1</v>
      </c>
      <c r="W76" s="72">
        <f t="shared" si="9"/>
        <v>1</v>
      </c>
      <c r="X76" s="72">
        <f t="shared" si="9"/>
        <v>1</v>
      </c>
      <c r="Y76" s="72">
        <f t="shared" si="9"/>
        <v>2</v>
      </c>
      <c r="Z76" s="72">
        <f t="shared" si="9"/>
        <v>2</v>
      </c>
      <c r="AA76" s="72">
        <f t="shared" si="9"/>
        <v>2</v>
      </c>
      <c r="AB76" s="72">
        <f t="shared" ref="AB76:AE76" si="10">COUNTIF(AB5:AB70,3)</f>
        <v>1</v>
      </c>
      <c r="AC76" s="72">
        <f t="shared" si="10"/>
        <v>1</v>
      </c>
      <c r="AD76" s="72">
        <f t="shared" si="10"/>
        <v>0</v>
      </c>
      <c r="AE76" s="72">
        <f t="shared" si="10"/>
        <v>0</v>
      </c>
      <c r="AF76" s="18">
        <f t="shared" ref="AF76" si="11">COUNTIF(AF5:AF70,3)</f>
        <v>1</v>
      </c>
    </row>
    <row r="77" spans="2:32" ht="15.75" thickBot="1" x14ac:dyDescent="0.3">
      <c r="C77" s="45" t="s">
        <v>111</v>
      </c>
      <c r="D77" s="52">
        <f>COUNTIF(D5:D70,4)</f>
        <v>1</v>
      </c>
      <c r="E77" s="52">
        <f t="shared" ref="E77:O77" si="12">COUNTIF(E5:E70,4)</f>
        <v>2</v>
      </c>
      <c r="F77" s="52">
        <f t="shared" si="12"/>
        <v>1</v>
      </c>
      <c r="G77" s="52">
        <f t="shared" si="12"/>
        <v>2</v>
      </c>
      <c r="H77" s="52">
        <f t="shared" si="12"/>
        <v>1</v>
      </c>
      <c r="I77" s="52">
        <f t="shared" si="12"/>
        <v>1</v>
      </c>
      <c r="J77" s="52">
        <f t="shared" si="12"/>
        <v>2</v>
      </c>
      <c r="K77" s="52">
        <f t="shared" si="12"/>
        <v>1</v>
      </c>
      <c r="L77" s="52">
        <f t="shared" si="12"/>
        <v>0</v>
      </c>
      <c r="M77" s="52">
        <f t="shared" si="12"/>
        <v>0</v>
      </c>
      <c r="N77" s="52">
        <f t="shared" si="12"/>
        <v>1</v>
      </c>
      <c r="O77" s="52">
        <f t="shared" si="12"/>
        <v>1</v>
      </c>
      <c r="P77" s="45" t="s">
        <v>111</v>
      </c>
      <c r="Q77" s="71">
        <f>COUNTIF(Q5:Q70,4)</f>
        <v>2</v>
      </c>
      <c r="R77" s="72">
        <f>COUNTIF(R5:R70,4)</f>
        <v>1</v>
      </c>
      <c r="S77" s="72">
        <f>COUNTIF(S5:S70,4)</f>
        <v>1</v>
      </c>
      <c r="T77" s="72">
        <f>COUNTIF(T5:T70,4)</f>
        <v>1</v>
      </c>
      <c r="U77" s="72">
        <f>COUNTIF(U5:U70,4)</f>
        <v>2</v>
      </c>
      <c r="V77" s="72">
        <f t="shared" ref="V77:AA77" si="13">COUNTIF(V5:V70,4)</f>
        <v>2</v>
      </c>
      <c r="W77" s="72">
        <f t="shared" si="13"/>
        <v>1</v>
      </c>
      <c r="X77" s="72">
        <f t="shared" si="13"/>
        <v>1</v>
      </c>
      <c r="Y77" s="72">
        <f t="shared" si="13"/>
        <v>1</v>
      </c>
      <c r="Z77" s="72">
        <f t="shared" si="13"/>
        <v>1</v>
      </c>
      <c r="AA77" s="72">
        <f t="shared" si="13"/>
        <v>0</v>
      </c>
      <c r="AB77" s="72">
        <f t="shared" ref="AB77:AE77" si="14">COUNTIF(AB5:AB70,4)</f>
        <v>2</v>
      </c>
      <c r="AC77" s="72">
        <f t="shared" si="14"/>
        <v>1</v>
      </c>
      <c r="AD77" s="72">
        <f t="shared" si="14"/>
        <v>0</v>
      </c>
      <c r="AE77" s="72">
        <f t="shared" si="14"/>
        <v>0</v>
      </c>
      <c r="AF77" s="18">
        <f t="shared" ref="AF77" si="15">COUNTIF(AF5:AF70,4)</f>
        <v>0</v>
      </c>
    </row>
    <row r="78" spans="2:32" ht="15.75" thickBot="1" x14ac:dyDescent="0.3">
      <c r="C78" s="50" t="s">
        <v>112</v>
      </c>
      <c r="D78" s="51">
        <f>COUNTIF(D5:D70,5)</f>
        <v>1</v>
      </c>
      <c r="E78" s="51">
        <f t="shared" ref="E78:O78" si="16">COUNTIF(E5:E70,5)</f>
        <v>1</v>
      </c>
      <c r="F78" s="51">
        <f t="shared" si="16"/>
        <v>0</v>
      </c>
      <c r="G78" s="51">
        <f t="shared" si="16"/>
        <v>0</v>
      </c>
      <c r="H78" s="51">
        <f t="shared" si="16"/>
        <v>1</v>
      </c>
      <c r="I78" s="51">
        <f t="shared" si="16"/>
        <v>1</v>
      </c>
      <c r="J78" s="51">
        <f t="shared" si="16"/>
        <v>0</v>
      </c>
      <c r="K78" s="51">
        <f t="shared" si="16"/>
        <v>1</v>
      </c>
      <c r="L78" s="51">
        <f t="shared" si="16"/>
        <v>0</v>
      </c>
      <c r="M78" s="51">
        <f t="shared" si="16"/>
        <v>1</v>
      </c>
      <c r="N78" s="51">
        <f t="shared" si="16"/>
        <v>1</v>
      </c>
      <c r="O78" s="51">
        <f t="shared" si="16"/>
        <v>1</v>
      </c>
      <c r="P78" s="46" t="s">
        <v>112</v>
      </c>
      <c r="Q78" s="71">
        <f>COUNTIF(Q5:Q70,5)</f>
        <v>1</v>
      </c>
      <c r="R78" s="72">
        <f>COUNTIF(R5:R70,5)</f>
        <v>1</v>
      </c>
      <c r="S78" s="72">
        <f>COUNTIF(S5:S70,5)</f>
        <v>0</v>
      </c>
      <c r="T78" s="72">
        <f>COUNTIF(T5:T70,5)</f>
        <v>0</v>
      </c>
      <c r="U78" s="72">
        <f>COUNTIF(U5:U70,5)</f>
        <v>0</v>
      </c>
      <c r="V78" s="72">
        <f t="shared" ref="V78:AA78" si="17">COUNTIF(V5:V70,5)</f>
        <v>0</v>
      </c>
      <c r="W78" s="72">
        <f t="shared" si="17"/>
        <v>1</v>
      </c>
      <c r="X78" s="72">
        <f t="shared" si="17"/>
        <v>1</v>
      </c>
      <c r="Y78" s="72">
        <f t="shared" si="17"/>
        <v>0</v>
      </c>
      <c r="Z78" s="72">
        <f t="shared" si="17"/>
        <v>1</v>
      </c>
      <c r="AA78" s="72">
        <f t="shared" si="17"/>
        <v>1</v>
      </c>
      <c r="AB78" s="72">
        <f t="shared" ref="AB78:AE78" si="18">COUNTIF(AB5:AB70,5)</f>
        <v>0</v>
      </c>
      <c r="AC78" s="72">
        <f t="shared" si="18"/>
        <v>1</v>
      </c>
      <c r="AD78" s="72">
        <f t="shared" si="18"/>
        <v>1</v>
      </c>
      <c r="AE78" s="72">
        <f t="shared" si="18"/>
        <v>1</v>
      </c>
      <c r="AF78" s="18">
        <f t="shared" ref="AF78" si="19">COUNTIF(AF5:AF70,5)</f>
        <v>0</v>
      </c>
    </row>
    <row r="79" spans="2:32" x14ac:dyDescent="0.25">
      <c r="D79" t="s">
        <v>119</v>
      </c>
      <c r="E79" t="s">
        <v>119</v>
      </c>
      <c r="F79" t="s">
        <v>119</v>
      </c>
      <c r="G79" t="s">
        <v>119</v>
      </c>
      <c r="H79" t="s">
        <v>119</v>
      </c>
      <c r="I79" t="s">
        <v>119</v>
      </c>
      <c r="J79" t="s">
        <v>119</v>
      </c>
      <c r="K79" t="s">
        <v>119</v>
      </c>
      <c r="L79" t="s">
        <v>119</v>
      </c>
      <c r="M79" t="s">
        <v>119</v>
      </c>
      <c r="N79" t="s">
        <v>119</v>
      </c>
      <c r="O79" t="s">
        <v>119</v>
      </c>
      <c r="Q79" t="s">
        <v>119</v>
      </c>
      <c r="R79" t="s">
        <v>119</v>
      </c>
      <c r="S79" t="s">
        <v>119</v>
      </c>
      <c r="T79" t="s">
        <v>119</v>
      </c>
      <c r="U79" t="s">
        <v>119</v>
      </c>
      <c r="V79" t="s">
        <v>119</v>
      </c>
      <c r="W79" t="s">
        <v>119</v>
      </c>
      <c r="X79" t="s">
        <v>119</v>
      </c>
      <c r="Y79" t="s">
        <v>119</v>
      </c>
      <c r="Z79" t="s">
        <v>119</v>
      </c>
      <c r="AA79" t="s">
        <v>119</v>
      </c>
      <c r="AB79" t="s">
        <v>119</v>
      </c>
      <c r="AC79" t="s">
        <v>119</v>
      </c>
      <c r="AD79" t="s">
        <v>119</v>
      </c>
      <c r="AE79" t="s">
        <v>119</v>
      </c>
      <c r="AF79" t="s">
        <v>119</v>
      </c>
    </row>
    <row r="83" spans="3:30" ht="15.75" thickBot="1" x14ac:dyDescent="0.3"/>
    <row r="84" spans="3:30" ht="15.75" thickBot="1" x14ac:dyDescent="0.3">
      <c r="C84" s="98" t="s">
        <v>120</v>
      </c>
      <c r="D84" s="99"/>
      <c r="E84" s="99"/>
      <c r="F84" s="100"/>
    </row>
    <row r="85" spans="3:30" ht="15.75" thickBot="1" x14ac:dyDescent="0.3">
      <c r="C85" s="7" t="s">
        <v>115</v>
      </c>
      <c r="D85" s="7" t="s">
        <v>116</v>
      </c>
      <c r="E85" s="7" t="s">
        <v>117</v>
      </c>
      <c r="F85" s="7" t="s">
        <v>118</v>
      </c>
    </row>
    <row r="86" spans="3:30" ht="15.75" thickBot="1" x14ac:dyDescent="0.3">
      <c r="C86" s="43" t="s">
        <v>108</v>
      </c>
      <c r="D86" s="7">
        <f>COUNTIF(D5:O70,"1")</f>
        <v>14</v>
      </c>
      <c r="E86" s="74">
        <v>0</v>
      </c>
      <c r="F86" s="77">
        <v>14</v>
      </c>
    </row>
    <row r="87" spans="3:30" ht="15.75" thickBot="1" x14ac:dyDescent="0.3">
      <c r="C87" s="44" t="s">
        <v>109</v>
      </c>
      <c r="D87" s="7">
        <f>COUNTIF(D5:O70,"2")</f>
        <v>14</v>
      </c>
      <c r="E87" s="75">
        <v>0</v>
      </c>
      <c r="F87" s="76">
        <v>14</v>
      </c>
    </row>
    <row r="88" spans="3:30" ht="15.75" thickBot="1" x14ac:dyDescent="0.3">
      <c r="C88" s="42" t="s">
        <v>110</v>
      </c>
      <c r="D88" s="7">
        <f>COUNTIF(D5:O70,"3")+1</f>
        <v>14</v>
      </c>
      <c r="E88" s="75">
        <v>0</v>
      </c>
      <c r="F88" s="76">
        <v>14</v>
      </c>
    </row>
    <row r="89" spans="3:30" ht="15.75" thickBot="1" x14ac:dyDescent="0.3">
      <c r="C89" s="45" t="s">
        <v>111</v>
      </c>
      <c r="D89" s="7">
        <f>COUNTIF(D5:O70,"4")</f>
        <v>13</v>
      </c>
      <c r="E89" s="75">
        <v>0</v>
      </c>
      <c r="F89" s="76">
        <v>13</v>
      </c>
    </row>
    <row r="90" spans="3:30" ht="15.75" thickBot="1" x14ac:dyDescent="0.3">
      <c r="C90" s="46" t="s">
        <v>112</v>
      </c>
      <c r="D90" s="7">
        <f>COUNTIF(D5:O70,"5")</f>
        <v>8</v>
      </c>
      <c r="E90" s="75">
        <v>0</v>
      </c>
      <c r="F90" s="76">
        <v>8</v>
      </c>
    </row>
    <row r="91" spans="3:30" ht="15.75" thickBot="1" x14ac:dyDescent="0.3">
      <c r="C91" s="104"/>
      <c r="D91" s="102"/>
      <c r="E91" s="102"/>
      <c r="F91" s="105"/>
    </row>
    <row r="92" spans="3:30" ht="15.75" thickBot="1" x14ac:dyDescent="0.3">
      <c r="C92" s="7" t="s">
        <v>95</v>
      </c>
      <c r="D92" s="7">
        <f>SUM(D86:D90)</f>
        <v>63</v>
      </c>
      <c r="E92" s="78">
        <f>SUM(E86:E90)</f>
        <v>0</v>
      </c>
      <c r="F92" s="10">
        <f>SUM(F86:F90)</f>
        <v>63</v>
      </c>
    </row>
    <row r="93" spans="3:30" x14ac:dyDescent="0.25">
      <c r="U93" s="73"/>
      <c r="V93" s="103"/>
      <c r="W93" s="103"/>
      <c r="X93" s="103"/>
      <c r="Y93" s="103"/>
      <c r="Z93" s="73"/>
      <c r="AA93" s="103"/>
      <c r="AB93" s="103"/>
      <c r="AC93" s="103"/>
      <c r="AD93" s="103"/>
    </row>
    <row r="94" spans="3:30" x14ac:dyDescent="0.25">
      <c r="U94" s="73"/>
      <c r="V94" s="73"/>
      <c r="W94" s="73"/>
      <c r="X94" s="73"/>
      <c r="Y94" s="73"/>
      <c r="Z94" s="73"/>
      <c r="AA94" s="73"/>
      <c r="AB94" s="73"/>
      <c r="AC94" s="73"/>
      <c r="AD94" s="73"/>
    </row>
    <row r="95" spans="3:30" x14ac:dyDescent="0.25">
      <c r="U95" s="73"/>
      <c r="V95" s="73"/>
      <c r="W95" s="73"/>
      <c r="X95" s="73"/>
      <c r="Y95" s="73"/>
      <c r="Z95" s="73"/>
      <c r="AA95" s="73"/>
      <c r="AB95" s="73"/>
      <c r="AC95" s="73"/>
      <c r="AD95" s="73"/>
    </row>
    <row r="96" spans="3:30" x14ac:dyDescent="0.25">
      <c r="U96" s="73"/>
      <c r="V96" s="73"/>
      <c r="W96" s="73"/>
      <c r="X96" s="73"/>
      <c r="Y96" s="73"/>
      <c r="Z96" s="73"/>
      <c r="AA96" s="73"/>
      <c r="AB96" s="73"/>
      <c r="AC96" s="73"/>
      <c r="AD96" s="73"/>
    </row>
    <row r="97" spans="21:30" x14ac:dyDescent="0.25">
      <c r="U97" s="73"/>
      <c r="V97" s="73"/>
      <c r="W97" s="73"/>
      <c r="X97" s="73"/>
      <c r="Y97" s="73"/>
      <c r="Z97" s="73"/>
      <c r="AA97" s="73"/>
      <c r="AB97" s="73"/>
      <c r="AC97" s="73"/>
      <c r="AD97" s="73"/>
    </row>
    <row r="98" spans="21:30" x14ac:dyDescent="0.25">
      <c r="U98" s="73"/>
      <c r="V98" s="73"/>
      <c r="W98" s="73"/>
      <c r="X98" s="73"/>
      <c r="Y98" s="73"/>
      <c r="Z98" s="73"/>
      <c r="AA98" s="73"/>
      <c r="AB98" s="73"/>
      <c r="AC98" s="73"/>
      <c r="AD98" s="73"/>
    </row>
  </sheetData>
  <sortState xmlns:xlrd2="http://schemas.microsoft.com/office/spreadsheetml/2017/richdata2" ref="C2:AF92">
    <sortCondition ref="D1:D1048576"/>
  </sortState>
  <mergeCells count="8">
    <mergeCell ref="D2:AF2"/>
    <mergeCell ref="D3:O3"/>
    <mergeCell ref="Q3:AF3"/>
    <mergeCell ref="V93:Y93"/>
    <mergeCell ref="AA93:AD93"/>
    <mergeCell ref="C91:F91"/>
    <mergeCell ref="C84:F84"/>
    <mergeCell ref="P3:P71"/>
  </mergeCells>
  <conditionalFormatting sqref="D5:O70 Q5:AF70">
    <cfRule type="cellIs" dxfId="4" priority="1" operator="equal">
      <formula>2</formula>
    </cfRule>
    <cfRule type="cellIs" dxfId="3" priority="2" operator="equal">
      <formula>3</formula>
    </cfRule>
    <cfRule type="cellIs" dxfId="2" priority="3" operator="equal">
      <formula>4</formula>
    </cfRule>
    <cfRule type="cellIs" dxfId="1" priority="4" operator="equal">
      <formula>5</formula>
    </cfRule>
    <cfRule type="cellIs" dxfId="0" priority="5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9E2-8614-433A-BA3C-CAFBFC6F4834}">
  <dimension ref="B1:B68"/>
  <sheetViews>
    <sheetView workbookViewId="0">
      <selection activeCell="E9" sqref="E9"/>
    </sheetView>
  </sheetViews>
  <sheetFormatPr defaultRowHeight="15" x14ac:dyDescent="0.25"/>
  <cols>
    <col min="2" max="2" width="16.5703125" customWidth="1"/>
  </cols>
  <sheetData>
    <row r="1" spans="2:2" ht="15.75" thickBot="1" x14ac:dyDescent="0.3"/>
    <row r="2" spans="2:2" ht="15.75" thickBot="1" x14ac:dyDescent="0.3">
      <c r="B2" s="97" t="s">
        <v>127</v>
      </c>
    </row>
    <row r="3" spans="2:2" x14ac:dyDescent="0.25">
      <c r="B3" s="5" t="s">
        <v>20</v>
      </c>
    </row>
    <row r="4" spans="2:2" x14ac:dyDescent="0.25">
      <c r="B4" s="4" t="s">
        <v>21</v>
      </c>
    </row>
    <row r="5" spans="2:2" x14ac:dyDescent="0.25">
      <c r="B5" s="4" t="s">
        <v>22</v>
      </c>
    </row>
    <row r="6" spans="2:2" x14ac:dyDescent="0.25">
      <c r="B6" s="4" t="s">
        <v>23</v>
      </c>
    </row>
    <row r="7" spans="2:2" x14ac:dyDescent="0.25">
      <c r="B7" s="4" t="s">
        <v>19</v>
      </c>
    </row>
    <row r="8" spans="2:2" x14ac:dyDescent="0.25">
      <c r="B8" s="4" t="s">
        <v>28</v>
      </c>
    </row>
    <row r="9" spans="2:2" x14ac:dyDescent="0.25">
      <c r="B9" s="4" t="s">
        <v>30</v>
      </c>
    </row>
    <row r="10" spans="2:2" x14ac:dyDescent="0.25">
      <c r="B10" s="4" t="s">
        <v>24</v>
      </c>
    </row>
    <row r="11" spans="2:2" x14ac:dyDescent="0.25">
      <c r="B11" s="4" t="s">
        <v>25</v>
      </c>
    </row>
    <row r="12" spans="2:2" x14ac:dyDescent="0.25">
      <c r="B12" s="3" t="s">
        <v>29</v>
      </c>
    </row>
    <row r="13" spans="2:2" x14ac:dyDescent="0.25">
      <c r="B13" s="4" t="s">
        <v>27</v>
      </c>
    </row>
    <row r="14" spans="2:2" x14ac:dyDescent="0.25">
      <c r="B14" s="4" t="s">
        <v>31</v>
      </c>
    </row>
    <row r="15" spans="2:2" x14ac:dyDescent="0.25">
      <c r="B15" s="4" t="s">
        <v>26</v>
      </c>
    </row>
    <row r="16" spans="2:2" x14ac:dyDescent="0.25">
      <c r="B16" s="4" t="s">
        <v>32</v>
      </c>
    </row>
    <row r="17" spans="2:2" x14ac:dyDescent="0.25">
      <c r="B17" s="4" t="s">
        <v>34</v>
      </c>
    </row>
    <row r="18" spans="2:2" x14ac:dyDescent="0.25">
      <c r="B18" s="4" t="s">
        <v>33</v>
      </c>
    </row>
    <row r="19" spans="2:2" x14ac:dyDescent="0.25">
      <c r="B19" s="4" t="s">
        <v>35</v>
      </c>
    </row>
    <row r="20" spans="2:2" x14ac:dyDescent="0.25">
      <c r="B20" s="4" t="s">
        <v>36</v>
      </c>
    </row>
    <row r="21" spans="2:2" x14ac:dyDescent="0.25">
      <c r="B21" s="4" t="s">
        <v>38</v>
      </c>
    </row>
    <row r="22" spans="2:2" x14ac:dyDescent="0.25">
      <c r="B22" s="3" t="s">
        <v>43</v>
      </c>
    </row>
    <row r="23" spans="2:2" x14ac:dyDescent="0.25">
      <c r="B23" s="4" t="s">
        <v>41</v>
      </c>
    </row>
    <row r="24" spans="2:2" x14ac:dyDescent="0.25">
      <c r="B24" s="4" t="s">
        <v>37</v>
      </c>
    </row>
    <row r="25" spans="2:2" x14ac:dyDescent="0.25">
      <c r="B25" s="4" t="s">
        <v>39</v>
      </c>
    </row>
    <row r="26" spans="2:2" x14ac:dyDescent="0.25">
      <c r="B26" s="4" t="s">
        <v>40</v>
      </c>
    </row>
    <row r="27" spans="2:2" x14ac:dyDescent="0.25">
      <c r="B27" s="4" t="s">
        <v>42</v>
      </c>
    </row>
    <row r="28" spans="2:2" x14ac:dyDescent="0.25">
      <c r="B28" s="4" t="s">
        <v>45</v>
      </c>
    </row>
    <row r="29" spans="2:2" x14ac:dyDescent="0.25">
      <c r="B29" s="4" t="s">
        <v>48</v>
      </c>
    </row>
    <row r="30" spans="2:2" x14ac:dyDescent="0.25">
      <c r="B30" s="4" t="s">
        <v>46</v>
      </c>
    </row>
    <row r="31" spans="2:2" x14ac:dyDescent="0.25">
      <c r="B31" s="4" t="s">
        <v>47</v>
      </c>
    </row>
    <row r="32" spans="2:2" x14ac:dyDescent="0.25">
      <c r="B32" s="4" t="s">
        <v>49</v>
      </c>
    </row>
    <row r="33" spans="2:2" x14ac:dyDescent="0.25">
      <c r="B33" s="17" t="s">
        <v>126</v>
      </c>
    </row>
    <row r="34" spans="2:2" x14ac:dyDescent="0.25">
      <c r="B34" s="4" t="s">
        <v>50</v>
      </c>
    </row>
    <row r="35" spans="2:2" x14ac:dyDescent="0.25">
      <c r="B35" s="4" t="s">
        <v>52</v>
      </c>
    </row>
    <row r="36" spans="2:2" x14ac:dyDescent="0.25">
      <c r="B36" s="4" t="s">
        <v>53</v>
      </c>
    </row>
    <row r="37" spans="2:2" x14ac:dyDescent="0.25">
      <c r="B37" s="4" t="s">
        <v>51</v>
      </c>
    </row>
    <row r="38" spans="2:2" x14ac:dyDescent="0.25">
      <c r="B38" s="4" t="s">
        <v>55</v>
      </c>
    </row>
    <row r="39" spans="2:2" x14ac:dyDescent="0.25">
      <c r="B39" s="4" t="s">
        <v>54</v>
      </c>
    </row>
    <row r="40" spans="2:2" x14ac:dyDescent="0.25">
      <c r="B40" s="4" t="s">
        <v>56</v>
      </c>
    </row>
    <row r="41" spans="2:2" x14ac:dyDescent="0.25">
      <c r="B41" s="4" t="s">
        <v>60</v>
      </c>
    </row>
    <row r="42" spans="2:2" x14ac:dyDescent="0.25">
      <c r="B42" s="4" t="s">
        <v>58</v>
      </c>
    </row>
    <row r="43" spans="2:2" x14ac:dyDescent="0.25">
      <c r="B43" s="4" t="s">
        <v>59</v>
      </c>
    </row>
    <row r="44" spans="2:2" x14ac:dyDescent="0.25">
      <c r="B44" s="4" t="s">
        <v>57</v>
      </c>
    </row>
    <row r="45" spans="2:2" x14ac:dyDescent="0.25">
      <c r="B45" s="4" t="s">
        <v>61</v>
      </c>
    </row>
    <row r="46" spans="2:2" x14ac:dyDescent="0.25">
      <c r="B46" s="4" t="s">
        <v>66</v>
      </c>
    </row>
    <row r="47" spans="2:2" x14ac:dyDescent="0.25">
      <c r="B47" s="4" t="s">
        <v>62</v>
      </c>
    </row>
    <row r="48" spans="2:2" x14ac:dyDescent="0.25">
      <c r="B48" s="4" t="s">
        <v>63</v>
      </c>
    </row>
    <row r="49" spans="2:2" x14ac:dyDescent="0.25">
      <c r="B49" s="4" t="s">
        <v>64</v>
      </c>
    </row>
    <row r="50" spans="2:2" x14ac:dyDescent="0.25">
      <c r="B50" s="4" t="s">
        <v>67</v>
      </c>
    </row>
    <row r="51" spans="2:2" x14ac:dyDescent="0.25">
      <c r="B51" s="4" t="s">
        <v>68</v>
      </c>
    </row>
    <row r="52" spans="2:2" x14ac:dyDescent="0.25">
      <c r="B52" s="4" t="s">
        <v>69</v>
      </c>
    </row>
    <row r="53" spans="2:2" x14ac:dyDescent="0.25">
      <c r="B53" s="4" t="s">
        <v>70</v>
      </c>
    </row>
    <row r="54" spans="2:2" x14ac:dyDescent="0.25">
      <c r="B54" s="4" t="s">
        <v>71</v>
      </c>
    </row>
    <row r="55" spans="2:2" x14ac:dyDescent="0.25">
      <c r="B55" s="4" t="s">
        <v>73</v>
      </c>
    </row>
    <row r="56" spans="2:2" x14ac:dyDescent="0.25">
      <c r="B56" s="4" t="s">
        <v>74</v>
      </c>
    </row>
    <row r="57" spans="2:2" x14ac:dyDescent="0.25">
      <c r="B57" s="4" t="s">
        <v>72</v>
      </c>
    </row>
    <row r="58" spans="2:2" x14ac:dyDescent="0.25">
      <c r="B58" s="4" t="s">
        <v>79</v>
      </c>
    </row>
    <row r="59" spans="2:2" x14ac:dyDescent="0.25">
      <c r="B59" s="4" t="s">
        <v>80</v>
      </c>
    </row>
    <row r="60" spans="2:2" x14ac:dyDescent="0.25">
      <c r="B60" s="4" t="s">
        <v>76</v>
      </c>
    </row>
    <row r="61" spans="2:2" x14ac:dyDescent="0.25">
      <c r="B61" s="4" t="s">
        <v>77</v>
      </c>
    </row>
    <row r="62" spans="2:2" x14ac:dyDescent="0.25">
      <c r="B62" s="4" t="s">
        <v>78</v>
      </c>
    </row>
    <row r="63" spans="2:2" x14ac:dyDescent="0.25">
      <c r="B63" s="4" t="s">
        <v>84</v>
      </c>
    </row>
    <row r="64" spans="2:2" x14ac:dyDescent="0.25">
      <c r="B64" s="4" t="s">
        <v>83</v>
      </c>
    </row>
    <row r="65" spans="2:2" x14ac:dyDescent="0.25">
      <c r="B65" s="4" t="s">
        <v>105</v>
      </c>
    </row>
    <row r="66" spans="2:2" x14ac:dyDescent="0.25">
      <c r="B66" s="4" t="s">
        <v>81</v>
      </c>
    </row>
    <row r="67" spans="2:2" x14ac:dyDescent="0.25">
      <c r="B67" s="4" t="s">
        <v>82</v>
      </c>
    </row>
    <row r="68" spans="2:2" ht="15.75" thickBot="1" x14ac:dyDescent="0.3">
      <c r="B68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lacaci</dc:creator>
  <cp:lastModifiedBy>hugo lacaci</cp:lastModifiedBy>
  <dcterms:created xsi:type="dcterms:W3CDTF">2025-11-10T15:57:52Z</dcterms:created>
  <dcterms:modified xsi:type="dcterms:W3CDTF">2026-02-08T20:40:56Z</dcterms:modified>
</cp:coreProperties>
</file>